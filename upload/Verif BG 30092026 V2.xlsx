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 MCI\17 GESTION FOND - Copie\4 VERIF BG\2026\"/>
    </mc:Choice>
  </mc:AlternateContent>
  <xr:revisionPtr revIDLastSave="0" documentId="13_ncr:1_{3EEA8A08-2325-44CC-B21D-6F5E9D48CC31}" xr6:coauthVersionLast="47" xr6:coauthVersionMax="47" xr10:uidLastSave="{00000000-0000-0000-0000-000000000000}"/>
  <bookViews>
    <workbookView xWindow="28680" yWindow="-120" windowWidth="19440" windowHeight="14880" activeTab="1" xr2:uid="{00000000-000D-0000-FFFF-FFFF00000000}"/>
  </bookViews>
  <sheets>
    <sheet name="Balance des comptes" sheetId="11" r:id="rId1"/>
    <sheet name="2026" sheetId="9" r:id="rId2"/>
    <sheet name="Feuil1" sheetId="12" state="hidden" r:id="rId3"/>
    <sheet name="Feuil2" sheetId="13" state="hidden" r:id="rId4"/>
  </sheets>
  <definedNames>
    <definedName name="_xlnm._FilterDatabase" localSheetId="0" hidden="1">'Balance des comptes'!$A$1:$X$308</definedName>
    <definedName name="_xlnm._FilterDatabase" localSheetId="2" hidden="1">Feuil1!$A$1:$M$968</definedName>
    <definedName name="_xlnm._FilterDatabase" localSheetId="3" hidden="1">Feuil2!$A$1:$M$979</definedName>
    <definedName name="_xlnm.Print_Area" localSheetId="1">'2026'!$D$442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5" i="9" l="1"/>
  <c r="H304" i="9"/>
  <c r="H443" i="9"/>
  <c r="H442" i="9"/>
  <c r="F585" i="9"/>
  <c r="F596" i="9"/>
  <c r="F583" i="9"/>
  <c r="D277" i="9"/>
  <c r="C277" i="9"/>
  <c r="D276" i="9"/>
  <c r="C276" i="9"/>
  <c r="D275" i="9"/>
  <c r="C275" i="9"/>
  <c r="D274" i="9"/>
  <c r="C274" i="9"/>
  <c r="D283" i="9"/>
  <c r="E274" i="9" l="1"/>
  <c r="C278" i="9"/>
  <c r="D278" i="9"/>
  <c r="E275" i="9"/>
  <c r="E276" i="9"/>
  <c r="E277" i="9"/>
  <c r="D969" i="13"/>
  <c r="F969" i="13"/>
  <c r="D970" i="13"/>
  <c r="D971" i="13"/>
  <c r="D972" i="13"/>
  <c r="D973" i="13"/>
  <c r="F973" i="13"/>
  <c r="D974" i="13"/>
  <c r="F974" i="13"/>
  <c r="D975" i="13"/>
  <c r="F975" i="13"/>
  <c r="D976" i="13"/>
  <c r="D977" i="13"/>
  <c r="D978" i="13"/>
  <c r="D2" i="13"/>
  <c r="D3" i="13"/>
  <c r="D4" i="13"/>
  <c r="D5" i="13"/>
  <c r="D6" i="13"/>
  <c r="D7" i="13"/>
  <c r="D8" i="13"/>
  <c r="F8" i="13"/>
  <c r="D9" i="13"/>
  <c r="F9" i="13"/>
  <c r="D10" i="13"/>
  <c r="F10" i="13"/>
  <c r="D11" i="13"/>
  <c r="D12" i="13"/>
  <c r="F12" i="13"/>
  <c r="D13" i="13"/>
  <c r="D14" i="13"/>
  <c r="D15" i="13"/>
  <c r="D16" i="13"/>
  <c r="D17" i="13"/>
  <c r="F17" i="13"/>
  <c r="D18" i="13"/>
  <c r="D19" i="13"/>
  <c r="D20" i="13"/>
  <c r="F20" i="13"/>
  <c r="D21" i="13"/>
  <c r="F21" i="13"/>
  <c r="D22" i="13"/>
  <c r="D23" i="13"/>
  <c r="D24" i="13"/>
  <c r="D25" i="13"/>
  <c r="F25" i="13"/>
  <c r="D26" i="13"/>
  <c r="D27" i="13"/>
  <c r="D28" i="13"/>
  <c r="D29" i="13"/>
  <c r="D30" i="13"/>
  <c r="D31" i="13"/>
  <c r="D32" i="13"/>
  <c r="D33" i="13"/>
  <c r="F33" i="13"/>
  <c r="D34" i="13"/>
  <c r="D35" i="13"/>
  <c r="D36" i="13"/>
  <c r="D37" i="13"/>
  <c r="D38" i="13"/>
  <c r="D39" i="13"/>
  <c r="D40" i="13"/>
  <c r="D41" i="13"/>
  <c r="F41" i="13"/>
  <c r="D42" i="13"/>
  <c r="D43" i="13"/>
  <c r="D44" i="13"/>
  <c r="D45" i="13"/>
  <c r="F45" i="13"/>
  <c r="D46" i="13"/>
  <c r="F46" i="13"/>
  <c r="D47" i="13"/>
  <c r="D48" i="13"/>
  <c r="D49" i="13"/>
  <c r="D50" i="13"/>
  <c r="D51" i="13"/>
  <c r="D52" i="13"/>
  <c r="D53" i="13"/>
  <c r="D54" i="13"/>
  <c r="E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F70" i="13"/>
  <c r="D71" i="13"/>
  <c r="D72" i="13"/>
  <c r="D73" i="13"/>
  <c r="D74" i="13"/>
  <c r="D75" i="13"/>
  <c r="D76" i="13"/>
  <c r="D77" i="13"/>
  <c r="D78" i="13"/>
  <c r="D79" i="13"/>
  <c r="D80" i="13"/>
  <c r="F80" i="13"/>
  <c r="D81" i="13"/>
  <c r="D82" i="13"/>
  <c r="D83" i="13"/>
  <c r="F83" i="13"/>
  <c r="D84" i="13"/>
  <c r="D85" i="13"/>
  <c r="D86" i="13"/>
  <c r="D87" i="13"/>
  <c r="D88" i="13"/>
  <c r="D89" i="13"/>
  <c r="D90" i="13"/>
  <c r="D91" i="13"/>
  <c r="F91" i="13"/>
  <c r="D92" i="13"/>
  <c r="F92" i="13"/>
  <c r="D93" i="13"/>
  <c r="F93" i="13"/>
  <c r="D94" i="13"/>
  <c r="F94" i="13"/>
  <c r="D95" i="13"/>
  <c r="D96" i="13"/>
  <c r="D97" i="13"/>
  <c r="D98" i="13"/>
  <c r="D99" i="13"/>
  <c r="D100" i="13"/>
  <c r="D101" i="13"/>
  <c r="D102" i="13"/>
  <c r="D103" i="13"/>
  <c r="D104" i="13"/>
  <c r="D105" i="13"/>
  <c r="F105" i="13"/>
  <c r="D106" i="13"/>
  <c r="F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F119" i="13"/>
  <c r="D120" i="13"/>
  <c r="D121" i="13"/>
  <c r="F121" i="13"/>
  <c r="D122" i="13"/>
  <c r="F122" i="13"/>
  <c r="D123" i="13"/>
  <c r="D124" i="13"/>
  <c r="D125" i="13"/>
  <c r="D126" i="13"/>
  <c r="D127" i="13"/>
  <c r="D128" i="13"/>
  <c r="D129" i="13"/>
  <c r="D130" i="13"/>
  <c r="F130" i="13"/>
  <c r="D131" i="13"/>
  <c r="D132" i="13"/>
  <c r="D133" i="13"/>
  <c r="D134" i="13"/>
  <c r="D135" i="13"/>
  <c r="D136" i="13"/>
  <c r="D137" i="13"/>
  <c r="D138" i="13"/>
  <c r="F138" i="13"/>
  <c r="D139" i="13"/>
  <c r="F139" i="13"/>
  <c r="D140" i="13"/>
  <c r="D141" i="13"/>
  <c r="D142" i="13"/>
  <c r="F142" i="13"/>
  <c r="D143" i="13"/>
  <c r="F143" i="13"/>
  <c r="D144" i="13"/>
  <c r="D145" i="13"/>
  <c r="D146" i="13"/>
  <c r="D147" i="13"/>
  <c r="D148" i="13"/>
  <c r="F148" i="13"/>
  <c r="D149" i="13"/>
  <c r="F149" i="13"/>
  <c r="D150" i="13"/>
  <c r="D151" i="13"/>
  <c r="D152" i="13"/>
  <c r="D153" i="13"/>
  <c r="F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F172" i="13"/>
  <c r="D173" i="13"/>
  <c r="D174" i="13"/>
  <c r="F174" i="13"/>
  <c r="D175" i="13"/>
  <c r="F175" i="13"/>
  <c r="D176" i="13"/>
  <c r="F176" i="13"/>
  <c r="D177" i="13"/>
  <c r="F177" i="13"/>
  <c r="D178" i="13"/>
  <c r="F178" i="13"/>
  <c r="D179" i="13"/>
  <c r="F179" i="13"/>
  <c r="D180" i="13"/>
  <c r="F180" i="13"/>
  <c r="D181" i="13"/>
  <c r="F181" i="13"/>
  <c r="D182" i="13"/>
  <c r="F182" i="13"/>
  <c r="D183" i="13"/>
  <c r="F183" i="13"/>
  <c r="D184" i="13"/>
  <c r="F184" i="13"/>
  <c r="D185" i="13"/>
  <c r="D186" i="13"/>
  <c r="D187" i="13"/>
  <c r="D188" i="13"/>
  <c r="D189" i="13"/>
  <c r="D190" i="13"/>
  <c r="D191" i="13"/>
  <c r="D192" i="13"/>
  <c r="D193" i="13"/>
  <c r="D194" i="13"/>
  <c r="F194" i="13"/>
  <c r="D195" i="13"/>
  <c r="D196" i="13"/>
  <c r="D197" i="13"/>
  <c r="D198" i="13"/>
  <c r="F198" i="13"/>
  <c r="D199" i="13"/>
  <c r="D200" i="13"/>
  <c r="D201" i="13"/>
  <c r="D202" i="13"/>
  <c r="D203" i="13"/>
  <c r="D204" i="13"/>
  <c r="F204" i="13"/>
  <c r="D205" i="13"/>
  <c r="D206" i="13"/>
  <c r="D207" i="13"/>
  <c r="D208" i="13"/>
  <c r="F208" i="13"/>
  <c r="D209" i="13"/>
  <c r="D210" i="13"/>
  <c r="D211" i="13"/>
  <c r="D212" i="13"/>
  <c r="F212" i="13"/>
  <c r="D213" i="13"/>
  <c r="F213" i="13"/>
  <c r="D214" i="13"/>
  <c r="D215" i="13"/>
  <c r="D216" i="13"/>
  <c r="D217" i="13"/>
  <c r="F217" i="13"/>
  <c r="D218" i="13"/>
  <c r="F218" i="13"/>
  <c r="D219" i="13"/>
  <c r="F219" i="13"/>
  <c r="D220" i="13"/>
  <c r="F220" i="13"/>
  <c r="D221" i="13"/>
  <c r="F221" i="13"/>
  <c r="D222" i="13"/>
  <c r="F222" i="13"/>
  <c r="D223" i="13"/>
  <c r="F223" i="13"/>
  <c r="D224" i="13"/>
  <c r="F224" i="13"/>
  <c r="D225" i="13"/>
  <c r="F225" i="13"/>
  <c r="D226" i="13"/>
  <c r="F226" i="13"/>
  <c r="D227" i="13"/>
  <c r="D228" i="13"/>
  <c r="D229" i="13"/>
  <c r="D230" i="13"/>
  <c r="D231" i="13"/>
  <c r="D232" i="13"/>
  <c r="F232" i="13"/>
  <c r="D233" i="13"/>
  <c r="F233" i="13"/>
  <c r="D234" i="13"/>
  <c r="D235" i="13"/>
  <c r="D236" i="13"/>
  <c r="D237" i="13"/>
  <c r="F237" i="13"/>
  <c r="D238" i="13"/>
  <c r="F238" i="13"/>
  <c r="D239" i="13"/>
  <c r="F239" i="13"/>
  <c r="D240" i="13"/>
  <c r="D241" i="13"/>
  <c r="D242" i="13"/>
  <c r="D243" i="13"/>
  <c r="D244" i="13"/>
  <c r="D245" i="13"/>
  <c r="D246" i="13"/>
  <c r="D247" i="13"/>
  <c r="F247" i="13"/>
  <c r="D248" i="13"/>
  <c r="D249" i="13"/>
  <c r="F249" i="13"/>
  <c r="D250" i="13"/>
  <c r="D251" i="13"/>
  <c r="D252" i="13"/>
  <c r="F252" i="13"/>
  <c r="D253" i="13"/>
  <c r="F253" i="13"/>
  <c r="D254" i="13"/>
  <c r="D255" i="13"/>
  <c r="D256" i="13"/>
  <c r="D257" i="13"/>
  <c r="F257" i="13"/>
  <c r="D258" i="13"/>
  <c r="D259" i="13"/>
  <c r="F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F272" i="13"/>
  <c r="D273" i="13"/>
  <c r="F273" i="13"/>
  <c r="D274" i="13"/>
  <c r="D275" i="13"/>
  <c r="D276" i="13"/>
  <c r="F276" i="13"/>
  <c r="D277" i="13"/>
  <c r="D278" i="13"/>
  <c r="D279" i="13"/>
  <c r="F279" i="13"/>
  <c r="D280" i="13"/>
  <c r="F280" i="13"/>
  <c r="D281" i="13"/>
  <c r="F281" i="13"/>
  <c r="D282" i="13"/>
  <c r="F282" i="13"/>
  <c r="D283" i="13"/>
  <c r="F283" i="13"/>
  <c r="D284" i="13"/>
  <c r="D285" i="13"/>
  <c r="D286" i="13"/>
  <c r="D287" i="13"/>
  <c r="F287" i="13"/>
  <c r="D288" i="13"/>
  <c r="D289" i="13"/>
  <c r="D290" i="13"/>
  <c r="D291" i="13"/>
  <c r="D292" i="13"/>
  <c r="F292" i="13"/>
  <c r="D293" i="13"/>
  <c r="F293" i="13"/>
  <c r="D294" i="13"/>
  <c r="D295" i="13"/>
  <c r="D296" i="13"/>
  <c r="D297" i="13"/>
  <c r="D298" i="13"/>
  <c r="F298" i="13"/>
  <c r="D299" i="13"/>
  <c r="D300" i="13"/>
  <c r="D301" i="13"/>
  <c r="F301" i="13"/>
  <c r="D302" i="13"/>
  <c r="F302" i="13"/>
  <c r="D303" i="13"/>
  <c r="F303" i="13"/>
  <c r="D304" i="13"/>
  <c r="D305" i="13"/>
  <c r="D306" i="13"/>
  <c r="D307" i="13"/>
  <c r="D308" i="13"/>
  <c r="D309" i="13"/>
  <c r="D310" i="13"/>
  <c r="D311" i="13"/>
  <c r="D312" i="13"/>
  <c r="F312" i="13"/>
  <c r="D313" i="13"/>
  <c r="D314" i="13"/>
  <c r="D315" i="13"/>
  <c r="D316" i="13"/>
  <c r="D317" i="13"/>
  <c r="D318" i="13"/>
  <c r="D319" i="13"/>
  <c r="D320" i="13"/>
  <c r="F320" i="13"/>
  <c r="D321" i="13"/>
  <c r="D322" i="13"/>
  <c r="D323" i="13"/>
  <c r="D324" i="13"/>
  <c r="D325" i="13"/>
  <c r="F325" i="13"/>
  <c r="D326" i="13"/>
  <c r="D327" i="13"/>
  <c r="D328" i="13"/>
  <c r="D329" i="13"/>
  <c r="F329" i="13"/>
  <c r="D330" i="13"/>
  <c r="D331" i="13"/>
  <c r="D332" i="13"/>
  <c r="D333" i="13"/>
  <c r="D334" i="13"/>
  <c r="F334" i="13"/>
  <c r="D335" i="13"/>
  <c r="F335" i="13"/>
  <c r="D336" i="13"/>
  <c r="D337" i="13"/>
  <c r="D338" i="13"/>
  <c r="F338" i="13"/>
  <c r="D339" i="13"/>
  <c r="D340" i="13"/>
  <c r="D341" i="13"/>
  <c r="D342" i="13"/>
  <c r="F342" i="13"/>
  <c r="D343" i="13"/>
  <c r="D344" i="13"/>
  <c r="F344" i="13"/>
  <c r="D345" i="13"/>
  <c r="F345" i="13"/>
  <c r="D346" i="13"/>
  <c r="D347" i="13"/>
  <c r="F347" i="13"/>
  <c r="D348" i="13"/>
  <c r="F348" i="13"/>
  <c r="D349" i="13"/>
  <c r="F349" i="13"/>
  <c r="D350" i="13"/>
  <c r="D351" i="13"/>
  <c r="D352" i="13"/>
  <c r="D353" i="13"/>
  <c r="D354" i="13"/>
  <c r="D355" i="13"/>
  <c r="D356" i="13"/>
  <c r="D357" i="13"/>
  <c r="F357" i="13"/>
  <c r="D358" i="13"/>
  <c r="D359" i="13"/>
  <c r="D360" i="13"/>
  <c r="D361" i="13"/>
  <c r="D362" i="13"/>
  <c r="F362" i="13"/>
  <c r="D363" i="13"/>
  <c r="F363" i="13"/>
  <c r="D364" i="13"/>
  <c r="F364" i="13"/>
  <c r="D365" i="13"/>
  <c r="D366" i="13"/>
  <c r="F366" i="13"/>
  <c r="D367" i="13"/>
  <c r="D368" i="13"/>
  <c r="D369" i="13"/>
  <c r="D370" i="13"/>
  <c r="D371" i="13"/>
  <c r="D372" i="13"/>
  <c r="D373" i="13"/>
  <c r="D374" i="13"/>
  <c r="F374" i="13"/>
  <c r="D375" i="13"/>
  <c r="D376" i="13"/>
  <c r="F376" i="13"/>
  <c r="D377" i="13"/>
  <c r="D378" i="13"/>
  <c r="D379" i="13"/>
  <c r="D380" i="13"/>
  <c r="D381" i="13"/>
  <c r="D382" i="13"/>
  <c r="D383" i="13"/>
  <c r="D384" i="13"/>
  <c r="D385" i="13"/>
  <c r="D386" i="13"/>
  <c r="D387" i="13"/>
  <c r="F387" i="13"/>
  <c r="D388" i="13"/>
  <c r="D389" i="13"/>
  <c r="D390" i="13"/>
  <c r="E390" i="13"/>
  <c r="D391" i="13"/>
  <c r="D392" i="13"/>
  <c r="D393" i="13"/>
  <c r="F393" i="13"/>
  <c r="D394" i="13"/>
  <c r="D395" i="13"/>
  <c r="D396" i="13"/>
  <c r="D397" i="13"/>
  <c r="D398" i="13"/>
  <c r="D399" i="13"/>
  <c r="D400" i="13"/>
  <c r="F400" i="13"/>
  <c r="D401" i="13"/>
  <c r="F401" i="13"/>
  <c r="D402" i="13"/>
  <c r="D403" i="13"/>
  <c r="D404" i="13"/>
  <c r="D405" i="13"/>
  <c r="D406" i="13"/>
  <c r="D407" i="13"/>
  <c r="D408" i="13"/>
  <c r="D409" i="13"/>
  <c r="D410" i="13"/>
  <c r="F410" i="13"/>
  <c r="D411" i="13"/>
  <c r="D412" i="13"/>
  <c r="F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F426" i="13"/>
  <c r="D427" i="13"/>
  <c r="F427" i="13"/>
  <c r="D428" i="13"/>
  <c r="F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F445" i="13"/>
  <c r="D446" i="13"/>
  <c r="D447" i="13"/>
  <c r="F447" i="13"/>
  <c r="D448" i="13"/>
  <c r="D449" i="13"/>
  <c r="F449" i="13"/>
  <c r="D450" i="13"/>
  <c r="F450" i="13"/>
  <c r="D451" i="13"/>
  <c r="F451" i="13"/>
  <c r="D452" i="13"/>
  <c r="F452" i="13"/>
  <c r="D453" i="13"/>
  <c r="D454" i="13"/>
  <c r="D455" i="13"/>
  <c r="D456" i="13"/>
  <c r="F456" i="13"/>
  <c r="D457" i="13"/>
  <c r="D458" i="13"/>
  <c r="F458" i="13"/>
  <c r="D459" i="13"/>
  <c r="D460" i="13"/>
  <c r="D461" i="13"/>
  <c r="F461" i="13"/>
  <c r="D462" i="13"/>
  <c r="E462" i="13"/>
  <c r="D463" i="13"/>
  <c r="F463" i="13"/>
  <c r="D464" i="13"/>
  <c r="D465" i="13"/>
  <c r="D466" i="13"/>
  <c r="D467" i="13"/>
  <c r="F467" i="13"/>
  <c r="D468" i="13"/>
  <c r="D469" i="13"/>
  <c r="D470" i="13"/>
  <c r="F470" i="13"/>
  <c r="D471" i="13"/>
  <c r="D472" i="13"/>
  <c r="D473" i="13"/>
  <c r="D474" i="13"/>
  <c r="D475" i="13"/>
  <c r="F475" i="13"/>
  <c r="D476" i="13"/>
  <c r="F476" i="13"/>
  <c r="D477" i="13"/>
  <c r="F477" i="13"/>
  <c r="D478" i="13"/>
  <c r="F478" i="13"/>
  <c r="D479" i="13"/>
  <c r="D480" i="13"/>
  <c r="F480" i="13"/>
  <c r="D481" i="13"/>
  <c r="D482" i="13"/>
  <c r="D483" i="13"/>
  <c r="D484" i="13"/>
  <c r="D485" i="13"/>
  <c r="F485" i="13"/>
  <c r="D486" i="13"/>
  <c r="F486" i="13"/>
  <c r="D487" i="13"/>
  <c r="F487" i="13"/>
  <c r="D488" i="13"/>
  <c r="F488" i="13"/>
  <c r="D489" i="13"/>
  <c r="F489" i="13"/>
  <c r="D490" i="13"/>
  <c r="D491" i="13"/>
  <c r="D492" i="13"/>
  <c r="D493" i="13"/>
  <c r="D494" i="13"/>
  <c r="D495" i="13"/>
  <c r="D496" i="13"/>
  <c r="D497" i="13"/>
  <c r="D498" i="13"/>
  <c r="D499" i="13"/>
  <c r="F499" i="13"/>
  <c r="D500" i="13"/>
  <c r="D501" i="13"/>
  <c r="F501" i="13"/>
  <c r="D502" i="13"/>
  <c r="D503" i="13"/>
  <c r="D504" i="13"/>
  <c r="F504" i="13"/>
  <c r="D505" i="13"/>
  <c r="D506" i="13"/>
  <c r="D507" i="13"/>
  <c r="D508" i="13"/>
  <c r="D509" i="13"/>
  <c r="D510" i="13"/>
  <c r="D511" i="13"/>
  <c r="D512" i="13"/>
  <c r="F512" i="13"/>
  <c r="D513" i="13"/>
  <c r="D514" i="13"/>
  <c r="D515" i="13"/>
  <c r="D516" i="13"/>
  <c r="F516" i="13"/>
  <c r="D517" i="13"/>
  <c r="D518" i="13"/>
  <c r="D519" i="13"/>
  <c r="D520" i="13"/>
  <c r="D521" i="13"/>
  <c r="F521" i="13"/>
  <c r="D522" i="13"/>
  <c r="F522" i="13"/>
  <c r="D523" i="13"/>
  <c r="F523" i="13"/>
  <c r="D524" i="13"/>
  <c r="F524" i="13"/>
  <c r="D525" i="13"/>
  <c r="D526" i="13"/>
  <c r="D527" i="13"/>
  <c r="D528" i="13"/>
  <c r="F528" i="13"/>
  <c r="D529" i="13"/>
  <c r="F529" i="13"/>
  <c r="D530" i="13"/>
  <c r="E530" i="13"/>
  <c r="D531" i="13"/>
  <c r="F531" i="13"/>
  <c r="D532" i="13"/>
  <c r="F532" i="13"/>
  <c r="D533" i="13"/>
  <c r="D534" i="13"/>
  <c r="D535" i="13"/>
  <c r="D536" i="13"/>
  <c r="D537" i="13"/>
  <c r="D538" i="13"/>
  <c r="F538" i="13"/>
  <c r="D539" i="13"/>
  <c r="D540" i="13"/>
  <c r="D541" i="13"/>
  <c r="F541" i="13"/>
  <c r="D542" i="13"/>
  <c r="F542" i="13"/>
  <c r="D543" i="13"/>
  <c r="D544" i="13"/>
  <c r="F544" i="13"/>
  <c r="D545" i="13"/>
  <c r="F545" i="13"/>
  <c r="D546" i="13"/>
  <c r="D547" i="13"/>
  <c r="D548" i="13"/>
  <c r="D549" i="13"/>
  <c r="D550" i="13"/>
  <c r="F550" i="13"/>
  <c r="D551" i="13"/>
  <c r="D552" i="13"/>
  <c r="D553" i="13"/>
  <c r="D554" i="13"/>
  <c r="D555" i="13"/>
  <c r="D556" i="13"/>
  <c r="F556" i="13"/>
  <c r="D557" i="13"/>
  <c r="F557" i="13"/>
  <c r="D558" i="13"/>
  <c r="F558" i="13"/>
  <c r="D559" i="13"/>
  <c r="F559" i="13"/>
  <c r="D560" i="13"/>
  <c r="D561" i="13"/>
  <c r="F561" i="13"/>
  <c r="D562" i="13"/>
  <c r="D563" i="13"/>
  <c r="F563" i="13"/>
  <c r="D564" i="13"/>
  <c r="F564" i="13"/>
  <c r="D565" i="13"/>
  <c r="D566" i="13"/>
  <c r="D567" i="13"/>
  <c r="D568" i="13"/>
  <c r="D569" i="13"/>
  <c r="F569" i="13"/>
  <c r="D570" i="13"/>
  <c r="F570" i="13"/>
  <c r="D571" i="13"/>
  <c r="D572" i="13"/>
  <c r="F572" i="13"/>
  <c r="D573" i="13"/>
  <c r="D574" i="13"/>
  <c r="D575" i="13"/>
  <c r="D576" i="13"/>
  <c r="D577" i="13"/>
  <c r="F577" i="13"/>
  <c r="D578" i="13"/>
  <c r="D579" i="13"/>
  <c r="D580" i="13"/>
  <c r="D581" i="13"/>
  <c r="D582" i="13"/>
  <c r="D583" i="13"/>
  <c r="D584" i="13"/>
  <c r="D585" i="13"/>
  <c r="D586" i="13"/>
  <c r="F586" i="13"/>
  <c r="D587" i="13"/>
  <c r="D588" i="13"/>
  <c r="F588" i="13"/>
  <c r="D589" i="13"/>
  <c r="E589" i="13"/>
  <c r="D590" i="13"/>
  <c r="D591" i="13"/>
  <c r="D592" i="13"/>
  <c r="F592" i="13"/>
  <c r="D593" i="13"/>
  <c r="D594" i="13"/>
  <c r="D595" i="13"/>
  <c r="D596" i="13"/>
  <c r="D597" i="13"/>
  <c r="F597" i="13"/>
  <c r="D598" i="13"/>
  <c r="D599" i="13"/>
  <c r="F599" i="13"/>
  <c r="D600" i="13"/>
  <c r="D601" i="13"/>
  <c r="F601" i="13"/>
  <c r="D602" i="13"/>
  <c r="D603" i="13"/>
  <c r="D604" i="13"/>
  <c r="D605" i="13"/>
  <c r="D606" i="13"/>
  <c r="D607" i="13"/>
  <c r="D608" i="13"/>
  <c r="D609" i="13"/>
  <c r="D610" i="13"/>
  <c r="D611" i="13"/>
  <c r="F611" i="13"/>
  <c r="D612" i="13"/>
  <c r="F612" i="13"/>
  <c r="D613" i="13"/>
  <c r="F613" i="13"/>
  <c r="D614" i="13"/>
  <c r="D615" i="13"/>
  <c r="D616" i="13"/>
  <c r="D617" i="13"/>
  <c r="D618" i="13"/>
  <c r="F618" i="13"/>
  <c r="D619" i="13"/>
  <c r="D620" i="13"/>
  <c r="D621" i="13"/>
  <c r="F621" i="13"/>
  <c r="D622" i="13"/>
  <c r="D623" i="13"/>
  <c r="F623" i="13"/>
  <c r="D624" i="13"/>
  <c r="F624" i="13"/>
  <c r="D625" i="13"/>
  <c r="D626" i="13"/>
  <c r="D627" i="13"/>
  <c r="D628" i="13"/>
  <c r="D629" i="13"/>
  <c r="F629" i="13"/>
  <c r="D630" i="13"/>
  <c r="D631" i="13"/>
  <c r="D632" i="13"/>
  <c r="D633" i="13"/>
  <c r="F633" i="13"/>
  <c r="D634" i="13"/>
  <c r="F634" i="13"/>
  <c r="D635" i="13"/>
  <c r="F635" i="13"/>
  <c r="D636" i="13"/>
  <c r="D637" i="13"/>
  <c r="F637" i="13"/>
  <c r="D638" i="13"/>
  <c r="D639" i="13"/>
  <c r="D640" i="13"/>
  <c r="D641" i="13"/>
  <c r="D642" i="13"/>
  <c r="D643" i="13"/>
  <c r="D644" i="13"/>
  <c r="D645" i="13"/>
  <c r="F645" i="13"/>
  <c r="D646" i="13"/>
  <c r="D647" i="13"/>
  <c r="F647" i="13"/>
  <c r="D648" i="13"/>
  <c r="D649" i="13"/>
  <c r="D650" i="13"/>
  <c r="D651" i="13"/>
  <c r="D652" i="13"/>
  <c r="D653" i="13"/>
  <c r="D654" i="13"/>
  <c r="D655" i="13"/>
  <c r="F655" i="13"/>
  <c r="D656" i="13"/>
  <c r="F656" i="13"/>
  <c r="D657" i="13"/>
  <c r="D658" i="13"/>
  <c r="D659" i="13"/>
  <c r="F659" i="13"/>
  <c r="D660" i="13"/>
  <c r="F660" i="13"/>
  <c r="D661" i="13"/>
  <c r="F661" i="13"/>
  <c r="D662" i="13"/>
  <c r="D663" i="13"/>
  <c r="D664" i="13"/>
  <c r="D665" i="13"/>
  <c r="F665" i="13"/>
  <c r="D666" i="13"/>
  <c r="D667" i="13"/>
  <c r="D668" i="13"/>
  <c r="D669" i="13"/>
  <c r="D670" i="13"/>
  <c r="D671" i="13"/>
  <c r="F671" i="13"/>
  <c r="D672" i="13"/>
  <c r="D673" i="13"/>
  <c r="D674" i="13"/>
  <c r="D675" i="13"/>
  <c r="F675" i="13"/>
  <c r="D676" i="13"/>
  <c r="D677" i="13"/>
  <c r="D678" i="13"/>
  <c r="D679" i="13"/>
  <c r="D680" i="13"/>
  <c r="D681" i="13"/>
  <c r="D682" i="13"/>
  <c r="D683" i="13"/>
  <c r="E683" i="13"/>
  <c r="D684" i="13"/>
  <c r="D685" i="13"/>
  <c r="D686" i="13"/>
  <c r="F686" i="13"/>
  <c r="D687" i="13"/>
  <c r="F687" i="13"/>
  <c r="D688" i="13"/>
  <c r="D689" i="13"/>
  <c r="F689" i="13"/>
  <c r="D690" i="13"/>
  <c r="D691" i="13"/>
  <c r="F691" i="13"/>
  <c r="D692" i="13"/>
  <c r="D693" i="13"/>
  <c r="D694" i="13"/>
  <c r="D695" i="13"/>
  <c r="F695" i="13"/>
  <c r="D696" i="13"/>
  <c r="D697" i="13"/>
  <c r="F697" i="13"/>
  <c r="D698" i="13"/>
  <c r="F698" i="13"/>
  <c r="D699" i="13"/>
  <c r="D700" i="13"/>
  <c r="F700" i="13"/>
  <c r="D701" i="13"/>
  <c r="F701" i="13"/>
  <c r="D702" i="13"/>
  <c r="D703" i="13"/>
  <c r="D704" i="13"/>
  <c r="F704" i="13"/>
  <c r="D705" i="13"/>
  <c r="F705" i="13"/>
  <c r="D706" i="13"/>
  <c r="D707" i="13"/>
  <c r="D708" i="13"/>
  <c r="F708" i="13"/>
  <c r="D709" i="13"/>
  <c r="D710" i="13"/>
  <c r="F710" i="13"/>
  <c r="D711" i="13"/>
  <c r="D712" i="13"/>
  <c r="D713" i="13"/>
  <c r="D714" i="13"/>
  <c r="D715" i="13"/>
  <c r="D716" i="13"/>
  <c r="D717" i="13"/>
  <c r="D718" i="13"/>
  <c r="F718" i="13"/>
  <c r="D719" i="13"/>
  <c r="D720" i="13"/>
  <c r="F720" i="13"/>
  <c r="D721" i="13"/>
  <c r="D722" i="13"/>
  <c r="D723" i="13"/>
  <c r="D724" i="13"/>
  <c r="D725" i="13"/>
  <c r="F725" i="13"/>
  <c r="D726" i="13"/>
  <c r="D727" i="13"/>
  <c r="D728" i="13"/>
  <c r="F728" i="13"/>
  <c r="D729" i="13"/>
  <c r="F729" i="13"/>
  <c r="D730" i="13"/>
  <c r="F730" i="13"/>
  <c r="D731" i="13"/>
  <c r="D732" i="13"/>
  <c r="D733" i="13"/>
  <c r="F733" i="13"/>
  <c r="D734" i="13"/>
  <c r="D735" i="13"/>
  <c r="D736" i="13"/>
  <c r="F736" i="13"/>
  <c r="D737" i="13"/>
  <c r="D738" i="13"/>
  <c r="D739" i="13"/>
  <c r="D740" i="13"/>
  <c r="D741" i="13"/>
  <c r="D742" i="13"/>
  <c r="D743" i="13"/>
  <c r="D744" i="13"/>
  <c r="D745" i="13"/>
  <c r="F745" i="13"/>
  <c r="D746" i="13"/>
  <c r="D747" i="13"/>
  <c r="D748" i="13"/>
  <c r="D749" i="13"/>
  <c r="D750" i="13"/>
  <c r="F750" i="13"/>
  <c r="D751" i="13"/>
  <c r="F751" i="13"/>
  <c r="D752" i="13"/>
  <c r="F752" i="13"/>
  <c r="D753" i="13"/>
  <c r="D754" i="13"/>
  <c r="E754" i="13"/>
  <c r="D755" i="13"/>
  <c r="D756" i="13"/>
  <c r="D757" i="13"/>
  <c r="F757" i="13"/>
  <c r="D758" i="13"/>
  <c r="D759" i="13"/>
  <c r="F759" i="13"/>
  <c r="D760" i="13"/>
  <c r="D761" i="13"/>
  <c r="F761" i="13"/>
  <c r="D762" i="13"/>
  <c r="D763" i="13"/>
  <c r="D764" i="13"/>
  <c r="D765" i="13"/>
  <c r="D766" i="13"/>
  <c r="F766" i="13"/>
  <c r="D767" i="13"/>
  <c r="D768" i="13"/>
  <c r="D769" i="13"/>
  <c r="D770" i="13"/>
  <c r="F770" i="13"/>
  <c r="D771" i="13"/>
  <c r="D772" i="13"/>
  <c r="F772" i="13"/>
  <c r="D773" i="13"/>
  <c r="D774" i="13"/>
  <c r="F774" i="13"/>
  <c r="D775" i="13"/>
  <c r="D776" i="13"/>
  <c r="F776" i="13"/>
  <c r="D777" i="13"/>
  <c r="F777" i="13"/>
  <c r="D778" i="13"/>
  <c r="D779" i="13"/>
  <c r="D780" i="13"/>
  <c r="D781" i="13"/>
  <c r="D782" i="13"/>
  <c r="F782" i="13"/>
  <c r="D783" i="13"/>
  <c r="F783" i="13"/>
  <c r="D784" i="13"/>
  <c r="D785" i="13"/>
  <c r="F785" i="13"/>
  <c r="D786" i="13"/>
  <c r="D787" i="13"/>
  <c r="D788" i="13"/>
  <c r="D789" i="13"/>
  <c r="D790" i="13"/>
  <c r="D791" i="13"/>
  <c r="F791" i="13"/>
  <c r="D792" i="13"/>
  <c r="D793" i="13"/>
  <c r="F793" i="13"/>
  <c r="D794" i="13"/>
  <c r="F794" i="13"/>
  <c r="D795" i="13"/>
  <c r="D796" i="13"/>
  <c r="D797" i="13"/>
  <c r="F797" i="13"/>
  <c r="D798" i="13"/>
  <c r="D799" i="13"/>
  <c r="F799" i="13"/>
  <c r="D800" i="13"/>
  <c r="D801" i="13"/>
  <c r="D802" i="13"/>
  <c r="D803" i="13"/>
  <c r="F803" i="13"/>
  <c r="D804" i="13"/>
  <c r="F804" i="13"/>
  <c r="D805" i="13"/>
  <c r="D806" i="13"/>
  <c r="D807" i="13"/>
  <c r="D808" i="13"/>
  <c r="D809" i="13"/>
  <c r="D810" i="13"/>
  <c r="D811" i="13"/>
  <c r="F811" i="13"/>
  <c r="D812" i="13"/>
  <c r="F812" i="13"/>
  <c r="D813" i="13"/>
  <c r="F813" i="13"/>
  <c r="D814" i="13"/>
  <c r="D815" i="13"/>
  <c r="D816" i="13"/>
  <c r="D817" i="13"/>
  <c r="F817" i="13"/>
  <c r="D818" i="13"/>
  <c r="D819" i="13"/>
  <c r="D820" i="13"/>
  <c r="D821" i="13"/>
  <c r="D822" i="13"/>
  <c r="F822" i="13"/>
  <c r="D823" i="13"/>
  <c r="D824" i="13"/>
  <c r="F824" i="13"/>
  <c r="D825" i="13"/>
  <c r="D826" i="13"/>
  <c r="F826" i="13"/>
  <c r="D827" i="13"/>
  <c r="D828" i="13"/>
  <c r="D829" i="13"/>
  <c r="F829" i="13"/>
  <c r="D830" i="13"/>
  <c r="D831" i="13"/>
  <c r="F831" i="13"/>
  <c r="D832" i="13"/>
  <c r="D833" i="13"/>
  <c r="D834" i="13"/>
  <c r="D835" i="13"/>
  <c r="D836" i="13"/>
  <c r="D837" i="13"/>
  <c r="F837" i="13"/>
  <c r="D838" i="13"/>
  <c r="F838" i="13"/>
  <c r="D839" i="13"/>
  <c r="D840" i="13"/>
  <c r="D841" i="13"/>
  <c r="D842" i="13"/>
  <c r="D843" i="13"/>
  <c r="E843" i="13"/>
  <c r="D844" i="13"/>
  <c r="D845" i="13"/>
  <c r="D846" i="13"/>
  <c r="D847" i="13"/>
  <c r="F847" i="13"/>
  <c r="D848" i="13"/>
  <c r="F848" i="13"/>
  <c r="D849" i="13"/>
  <c r="F849" i="13"/>
  <c r="D850" i="13"/>
  <c r="D851" i="13"/>
  <c r="D852" i="13"/>
  <c r="F852" i="13"/>
  <c r="D853" i="13"/>
  <c r="D854" i="13"/>
  <c r="D855" i="13"/>
  <c r="D856" i="13"/>
  <c r="D857" i="13"/>
  <c r="D858" i="13"/>
  <c r="F858" i="13"/>
  <c r="D859" i="13"/>
  <c r="D860" i="13"/>
  <c r="D861" i="13"/>
  <c r="D862" i="13"/>
  <c r="D863" i="13"/>
  <c r="D864" i="13"/>
  <c r="D865" i="13"/>
  <c r="D866" i="13"/>
  <c r="D867" i="13"/>
  <c r="D868" i="13"/>
  <c r="F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F882" i="13"/>
  <c r="D883" i="13"/>
  <c r="D884" i="13"/>
  <c r="D885" i="13"/>
  <c r="F885" i="13"/>
  <c r="D886" i="13"/>
  <c r="F886" i="13"/>
  <c r="D887" i="13"/>
  <c r="D888" i="13"/>
  <c r="D889" i="13"/>
  <c r="D890" i="13"/>
  <c r="F890" i="13"/>
  <c r="D891" i="13"/>
  <c r="D892" i="13"/>
  <c r="F892" i="13"/>
  <c r="D893" i="13"/>
  <c r="D894" i="13"/>
  <c r="D895" i="13"/>
  <c r="D896" i="13"/>
  <c r="F896" i="13"/>
  <c r="D897" i="13"/>
  <c r="F897" i="13"/>
  <c r="D898" i="13"/>
  <c r="F898" i="13"/>
  <c r="D899" i="13"/>
  <c r="F899" i="13"/>
  <c r="D900" i="13"/>
  <c r="D901" i="13"/>
  <c r="F901" i="13"/>
  <c r="D902" i="13"/>
  <c r="D903" i="13"/>
  <c r="D904" i="13"/>
  <c r="D905" i="13"/>
  <c r="D906" i="13"/>
  <c r="D907" i="13"/>
  <c r="D908" i="13"/>
  <c r="D909" i="13"/>
  <c r="D910" i="13"/>
  <c r="F910" i="13"/>
  <c r="D911" i="13"/>
  <c r="F911" i="13"/>
  <c r="D912" i="13"/>
  <c r="D913" i="13"/>
  <c r="D914" i="13"/>
  <c r="D915" i="13"/>
  <c r="D916" i="13"/>
  <c r="D917" i="13"/>
  <c r="D918" i="13"/>
  <c r="D919" i="13"/>
  <c r="F919" i="13"/>
  <c r="D920" i="13"/>
  <c r="F920" i="13"/>
  <c r="D921" i="13"/>
  <c r="F921" i="13"/>
  <c r="D922" i="13"/>
  <c r="D923" i="13"/>
  <c r="D924" i="13"/>
  <c r="D925" i="13"/>
  <c r="D926" i="13"/>
  <c r="D927" i="13"/>
  <c r="D928" i="13"/>
  <c r="D929" i="13"/>
  <c r="D930" i="13"/>
  <c r="F930" i="13"/>
  <c r="D931" i="13"/>
  <c r="F931" i="13"/>
  <c r="D932" i="13"/>
  <c r="D933" i="13"/>
  <c r="D934" i="13"/>
  <c r="F934" i="13"/>
  <c r="D935" i="13"/>
  <c r="F935" i="13"/>
  <c r="D936" i="13"/>
  <c r="D937" i="13"/>
  <c r="D938" i="13"/>
  <c r="F938" i="13"/>
  <c r="D939" i="13"/>
  <c r="D940" i="13"/>
  <c r="D941" i="13"/>
  <c r="D942" i="13"/>
  <c r="D943" i="13"/>
  <c r="D944" i="13"/>
  <c r="D945" i="13"/>
  <c r="D946" i="13"/>
  <c r="D947" i="13"/>
  <c r="F947" i="13"/>
  <c r="D948" i="13"/>
  <c r="F948" i="13"/>
  <c r="D949" i="13"/>
  <c r="F949" i="13"/>
  <c r="D950" i="13"/>
  <c r="F950" i="13"/>
  <c r="D951" i="13"/>
  <c r="F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F963" i="13"/>
  <c r="D964" i="13"/>
  <c r="F964" i="13"/>
  <c r="D965" i="13"/>
  <c r="D966" i="13"/>
  <c r="D967" i="13"/>
  <c r="E967" i="13"/>
  <c r="D968" i="13"/>
  <c r="E278" i="9" l="1"/>
  <c r="D968" i="12"/>
  <c r="E967" i="12"/>
  <c r="D967" i="12"/>
  <c r="D966" i="12"/>
  <c r="D965" i="12"/>
  <c r="F964" i="12"/>
  <c r="D964" i="12"/>
  <c r="F963" i="12"/>
  <c r="D963" i="12"/>
  <c r="D962" i="12"/>
  <c r="D961" i="12"/>
  <c r="D960" i="12"/>
  <c r="D959" i="12"/>
  <c r="D958" i="12"/>
  <c r="D957" i="12"/>
  <c r="D956" i="12"/>
  <c r="D955" i="12"/>
  <c r="D954" i="12"/>
  <c r="D953" i="12"/>
  <c r="D952" i="12"/>
  <c r="F951" i="12"/>
  <c r="D951" i="12"/>
  <c r="F950" i="12"/>
  <c r="D950" i="12"/>
  <c r="F949" i="12"/>
  <c r="D949" i="12"/>
  <c r="F948" i="12"/>
  <c r="D948" i="12"/>
  <c r="F947" i="12"/>
  <c r="D947" i="12"/>
  <c r="D946" i="12"/>
  <c r="D945" i="12"/>
  <c r="D944" i="12"/>
  <c r="D943" i="12"/>
  <c r="D942" i="12"/>
  <c r="D941" i="12"/>
  <c r="D940" i="12"/>
  <c r="D939" i="12"/>
  <c r="F938" i="12"/>
  <c r="D938" i="12"/>
  <c r="D937" i="12"/>
  <c r="D936" i="12"/>
  <c r="F935" i="12"/>
  <c r="D935" i="12"/>
  <c r="F934" i="12"/>
  <c r="D934" i="12"/>
  <c r="D933" i="12"/>
  <c r="D932" i="12"/>
  <c r="F931" i="12"/>
  <c r="D931" i="12"/>
  <c r="F930" i="12"/>
  <c r="D930" i="12"/>
  <c r="D929" i="12"/>
  <c r="D928" i="12"/>
  <c r="D927" i="12"/>
  <c r="D926" i="12"/>
  <c r="D925" i="12"/>
  <c r="D924" i="12"/>
  <c r="D923" i="12"/>
  <c r="D922" i="12"/>
  <c r="F921" i="12"/>
  <c r="D921" i="12"/>
  <c r="F920" i="12"/>
  <c r="D920" i="12"/>
  <c r="F919" i="12"/>
  <c r="D919" i="12"/>
  <c r="D918" i="12"/>
  <c r="D917" i="12"/>
  <c r="D916" i="12"/>
  <c r="D915" i="12"/>
  <c r="D914" i="12"/>
  <c r="D913" i="12"/>
  <c r="D912" i="12"/>
  <c r="F911" i="12"/>
  <c r="D911" i="12"/>
  <c r="F910" i="12"/>
  <c r="D910" i="12"/>
  <c r="D909" i="12"/>
  <c r="D908" i="12"/>
  <c r="D907" i="12"/>
  <c r="D906" i="12"/>
  <c r="D905" i="12"/>
  <c r="D904" i="12"/>
  <c r="D903" i="12"/>
  <c r="D902" i="12"/>
  <c r="F901" i="12"/>
  <c r="D901" i="12"/>
  <c r="D900" i="12"/>
  <c r="F899" i="12"/>
  <c r="D899" i="12"/>
  <c r="F898" i="12"/>
  <c r="D898" i="12"/>
  <c r="F897" i="12"/>
  <c r="D897" i="12"/>
  <c r="F896" i="12"/>
  <c r="D896" i="12"/>
  <c r="D895" i="12"/>
  <c r="D894" i="12"/>
  <c r="D893" i="12"/>
  <c r="F892" i="12"/>
  <c r="D892" i="12"/>
  <c r="D891" i="12"/>
  <c r="F890" i="12"/>
  <c r="D890" i="12"/>
  <c r="D889" i="12"/>
  <c r="D888" i="12"/>
  <c r="D887" i="12"/>
  <c r="F886" i="12"/>
  <c r="D886" i="12"/>
  <c r="F885" i="12"/>
  <c r="D885" i="12"/>
  <c r="D884" i="12"/>
  <c r="D883" i="12"/>
  <c r="F882" i="12"/>
  <c r="D882" i="12"/>
  <c r="D881" i="12"/>
  <c r="D880" i="12"/>
  <c r="D879" i="12"/>
  <c r="D878" i="12"/>
  <c r="D877" i="12"/>
  <c r="D876" i="12"/>
  <c r="D875" i="12"/>
  <c r="D874" i="12"/>
  <c r="D873" i="12"/>
  <c r="D872" i="12"/>
  <c r="D871" i="12"/>
  <c r="D870" i="12"/>
  <c r="D869" i="12"/>
  <c r="F868" i="12"/>
  <c r="D868" i="12"/>
  <c r="D867" i="12"/>
  <c r="D866" i="12"/>
  <c r="D865" i="12"/>
  <c r="D864" i="12"/>
  <c r="D863" i="12"/>
  <c r="D862" i="12"/>
  <c r="D861" i="12"/>
  <c r="D860" i="12"/>
  <c r="D859" i="12"/>
  <c r="F858" i="12"/>
  <c r="D858" i="12"/>
  <c r="D857" i="12"/>
  <c r="D856" i="12"/>
  <c r="D855" i="12"/>
  <c r="D854" i="12"/>
  <c r="D853" i="12"/>
  <c r="F852" i="12"/>
  <c r="D852" i="12"/>
  <c r="D851" i="12"/>
  <c r="D850" i="12"/>
  <c r="F849" i="12"/>
  <c r="D849" i="12"/>
  <c r="F848" i="12"/>
  <c r="D848" i="12"/>
  <c r="F847" i="12"/>
  <c r="D847" i="12"/>
  <c r="D846" i="12"/>
  <c r="D845" i="12"/>
  <c r="D844" i="12"/>
  <c r="E843" i="12"/>
  <c r="D843" i="12"/>
  <c r="D842" i="12"/>
  <c r="D841" i="12"/>
  <c r="D840" i="12"/>
  <c r="D839" i="12"/>
  <c r="F838" i="12"/>
  <c r="D838" i="12"/>
  <c r="F837" i="12"/>
  <c r="D837" i="12"/>
  <c r="D836" i="12"/>
  <c r="D835" i="12"/>
  <c r="D834" i="12"/>
  <c r="D833" i="12"/>
  <c r="D832" i="12"/>
  <c r="F831" i="12"/>
  <c r="D831" i="12"/>
  <c r="D830" i="12"/>
  <c r="F829" i="12"/>
  <c r="D829" i="12"/>
  <c r="D828" i="12"/>
  <c r="D827" i="12"/>
  <c r="F826" i="12"/>
  <c r="D826" i="12"/>
  <c r="D825" i="12"/>
  <c r="F824" i="12"/>
  <c r="D824" i="12"/>
  <c r="D823" i="12"/>
  <c r="F822" i="12"/>
  <c r="D822" i="12"/>
  <c r="D821" i="12"/>
  <c r="D820" i="12"/>
  <c r="D819" i="12"/>
  <c r="D818" i="12"/>
  <c r="F817" i="12"/>
  <c r="D817" i="12"/>
  <c r="D816" i="12"/>
  <c r="D815" i="12"/>
  <c r="D814" i="12"/>
  <c r="F813" i="12"/>
  <c r="D813" i="12"/>
  <c r="F812" i="12"/>
  <c r="D812" i="12"/>
  <c r="F811" i="12"/>
  <c r="D811" i="12"/>
  <c r="D810" i="12"/>
  <c r="D809" i="12"/>
  <c r="D808" i="12"/>
  <c r="D807" i="12"/>
  <c r="D806" i="12"/>
  <c r="D805" i="12"/>
  <c r="F804" i="12"/>
  <c r="D804" i="12"/>
  <c r="F803" i="12"/>
  <c r="D803" i="12"/>
  <c r="D802" i="12"/>
  <c r="D801" i="12"/>
  <c r="D800" i="12"/>
  <c r="F799" i="12"/>
  <c r="D799" i="12"/>
  <c r="D798" i="12"/>
  <c r="F797" i="12"/>
  <c r="D797" i="12"/>
  <c r="D796" i="12"/>
  <c r="D795" i="12"/>
  <c r="F794" i="12"/>
  <c r="D794" i="12"/>
  <c r="F793" i="12"/>
  <c r="D793" i="12"/>
  <c r="D792" i="12"/>
  <c r="F791" i="12"/>
  <c r="D791" i="12"/>
  <c r="D790" i="12"/>
  <c r="D789" i="12"/>
  <c r="D788" i="12"/>
  <c r="D787" i="12"/>
  <c r="D786" i="12"/>
  <c r="F785" i="12"/>
  <c r="D785" i="12"/>
  <c r="D784" i="12"/>
  <c r="F783" i="12"/>
  <c r="D783" i="12"/>
  <c r="F782" i="12"/>
  <c r="D782" i="12"/>
  <c r="D781" i="12"/>
  <c r="D780" i="12"/>
  <c r="D779" i="12"/>
  <c r="D778" i="12"/>
  <c r="F777" i="12"/>
  <c r="D777" i="12"/>
  <c r="F776" i="12"/>
  <c r="D776" i="12"/>
  <c r="D775" i="12"/>
  <c r="F774" i="12"/>
  <c r="D774" i="12"/>
  <c r="D773" i="12"/>
  <c r="F772" i="12"/>
  <c r="D772" i="12"/>
  <c r="D771" i="12"/>
  <c r="F770" i="12"/>
  <c r="D770" i="12"/>
  <c r="D769" i="12"/>
  <c r="D768" i="12"/>
  <c r="D767" i="12"/>
  <c r="F766" i="12"/>
  <c r="D766" i="12"/>
  <c r="D765" i="12"/>
  <c r="D764" i="12"/>
  <c r="D763" i="12"/>
  <c r="D762" i="12"/>
  <c r="F761" i="12"/>
  <c r="D761" i="12"/>
  <c r="D760" i="12"/>
  <c r="F759" i="12"/>
  <c r="D759" i="12"/>
  <c r="D758" i="12"/>
  <c r="F757" i="12"/>
  <c r="D757" i="12"/>
  <c r="D756" i="12"/>
  <c r="D755" i="12"/>
  <c r="E754" i="12"/>
  <c r="D754" i="12"/>
  <c r="D753" i="12"/>
  <c r="F752" i="12"/>
  <c r="D752" i="12"/>
  <c r="F751" i="12"/>
  <c r="D751" i="12"/>
  <c r="F750" i="12"/>
  <c r="D750" i="12"/>
  <c r="D749" i="12"/>
  <c r="D748" i="12"/>
  <c r="D747" i="12"/>
  <c r="D746" i="12"/>
  <c r="F745" i="12"/>
  <c r="D745" i="12"/>
  <c r="D744" i="12"/>
  <c r="D743" i="12"/>
  <c r="D742" i="12"/>
  <c r="D741" i="12"/>
  <c r="D740" i="12"/>
  <c r="D739" i="12"/>
  <c r="D738" i="12"/>
  <c r="D737" i="12"/>
  <c r="F736" i="12"/>
  <c r="D736" i="12"/>
  <c r="D735" i="12"/>
  <c r="D734" i="12"/>
  <c r="F733" i="12"/>
  <c r="D733" i="12"/>
  <c r="D732" i="12"/>
  <c r="D731" i="12"/>
  <c r="F730" i="12"/>
  <c r="D730" i="12"/>
  <c r="F729" i="12"/>
  <c r="D729" i="12"/>
  <c r="F728" i="12"/>
  <c r="D728" i="12"/>
  <c r="D727" i="12"/>
  <c r="D726" i="12"/>
  <c r="F725" i="12"/>
  <c r="D725" i="12"/>
  <c r="D724" i="12"/>
  <c r="D723" i="12"/>
  <c r="D722" i="12"/>
  <c r="D721" i="12"/>
  <c r="F720" i="12"/>
  <c r="D720" i="12"/>
  <c r="D719" i="12"/>
  <c r="F718" i="12"/>
  <c r="D718" i="12"/>
  <c r="D717" i="12"/>
  <c r="D716" i="12"/>
  <c r="D715" i="12"/>
  <c r="D714" i="12"/>
  <c r="D713" i="12"/>
  <c r="D712" i="12"/>
  <c r="D711" i="12"/>
  <c r="F710" i="12"/>
  <c r="D710" i="12"/>
  <c r="D709" i="12"/>
  <c r="F708" i="12"/>
  <c r="D708" i="12"/>
  <c r="D707" i="12"/>
  <c r="D706" i="12"/>
  <c r="F705" i="12"/>
  <c r="D705" i="12"/>
  <c r="F704" i="12"/>
  <c r="D704" i="12"/>
  <c r="D703" i="12"/>
  <c r="D702" i="12"/>
  <c r="F701" i="12"/>
  <c r="D701" i="12"/>
  <c r="F700" i="12"/>
  <c r="D700" i="12"/>
  <c r="D699" i="12"/>
  <c r="F698" i="12"/>
  <c r="D698" i="12"/>
  <c r="F697" i="12"/>
  <c r="D697" i="12"/>
  <c r="D696" i="12"/>
  <c r="F695" i="12"/>
  <c r="D695" i="12"/>
  <c r="D694" i="12"/>
  <c r="D693" i="12"/>
  <c r="D692" i="12"/>
  <c r="F691" i="12"/>
  <c r="D691" i="12"/>
  <c r="D690" i="12"/>
  <c r="F689" i="12"/>
  <c r="D689" i="12"/>
  <c r="D688" i="12"/>
  <c r="F687" i="12"/>
  <c r="D687" i="12"/>
  <c r="F686" i="12"/>
  <c r="D686" i="12"/>
  <c r="D685" i="12"/>
  <c r="D684" i="12"/>
  <c r="E683" i="12"/>
  <c r="D683" i="12"/>
  <c r="D682" i="12"/>
  <c r="D681" i="12"/>
  <c r="D680" i="12"/>
  <c r="D679" i="12"/>
  <c r="D678" i="12"/>
  <c r="D677" i="12"/>
  <c r="D676" i="12"/>
  <c r="F675" i="12"/>
  <c r="D675" i="12"/>
  <c r="D674" i="12"/>
  <c r="D673" i="12"/>
  <c r="D672" i="12"/>
  <c r="F671" i="12"/>
  <c r="D671" i="12"/>
  <c r="D670" i="12"/>
  <c r="D669" i="12"/>
  <c r="D668" i="12"/>
  <c r="D667" i="12"/>
  <c r="D666" i="12"/>
  <c r="F665" i="12"/>
  <c r="D665" i="12"/>
  <c r="D664" i="12"/>
  <c r="D663" i="12"/>
  <c r="D662" i="12"/>
  <c r="F661" i="12"/>
  <c r="D661" i="12"/>
  <c r="F660" i="12"/>
  <c r="D660" i="12"/>
  <c r="F659" i="12"/>
  <c r="D659" i="12"/>
  <c r="D658" i="12"/>
  <c r="D657" i="12"/>
  <c r="F656" i="12"/>
  <c r="D656" i="12"/>
  <c r="F655" i="12"/>
  <c r="D655" i="12"/>
  <c r="D654" i="12"/>
  <c r="D653" i="12"/>
  <c r="D652" i="12"/>
  <c r="D651" i="12"/>
  <c r="D650" i="12"/>
  <c r="D649" i="12"/>
  <c r="D648" i="12"/>
  <c r="F647" i="12"/>
  <c r="D647" i="12"/>
  <c r="D646" i="12"/>
  <c r="F645" i="12"/>
  <c r="D645" i="12"/>
  <c r="D644" i="12"/>
  <c r="D643" i="12"/>
  <c r="D642" i="12"/>
  <c r="D641" i="12"/>
  <c r="D640" i="12"/>
  <c r="D639" i="12"/>
  <c r="D638" i="12"/>
  <c r="F637" i="12"/>
  <c r="D637" i="12"/>
  <c r="D636" i="12"/>
  <c r="F635" i="12"/>
  <c r="D635" i="12"/>
  <c r="F634" i="12"/>
  <c r="D634" i="12"/>
  <c r="F633" i="12"/>
  <c r="D633" i="12"/>
  <c r="D632" i="12"/>
  <c r="D631" i="12"/>
  <c r="D630" i="12"/>
  <c r="F629" i="12"/>
  <c r="D629" i="12"/>
  <c r="D628" i="12"/>
  <c r="D627" i="12"/>
  <c r="D626" i="12"/>
  <c r="D625" i="12"/>
  <c r="F624" i="12"/>
  <c r="D624" i="12"/>
  <c r="F623" i="12"/>
  <c r="D623" i="12"/>
  <c r="D622" i="12"/>
  <c r="F621" i="12"/>
  <c r="D621" i="12"/>
  <c r="D620" i="12"/>
  <c r="D619" i="12"/>
  <c r="F618" i="12"/>
  <c r="D618" i="12"/>
  <c r="D617" i="12"/>
  <c r="D616" i="12"/>
  <c r="D615" i="12"/>
  <c r="D614" i="12"/>
  <c r="F613" i="12"/>
  <c r="D613" i="12"/>
  <c r="F612" i="12"/>
  <c r="D612" i="12"/>
  <c r="F611" i="12"/>
  <c r="D611" i="12"/>
  <c r="D610" i="12"/>
  <c r="D609" i="12"/>
  <c r="D608" i="12"/>
  <c r="D607" i="12"/>
  <c r="D606" i="12"/>
  <c r="D605" i="12"/>
  <c r="D604" i="12"/>
  <c r="D603" i="12"/>
  <c r="D602" i="12"/>
  <c r="F601" i="12"/>
  <c r="D601" i="12"/>
  <c r="D600" i="12"/>
  <c r="F599" i="12"/>
  <c r="D599" i="12"/>
  <c r="D598" i="12"/>
  <c r="F597" i="12"/>
  <c r="D597" i="12"/>
  <c r="D596" i="12"/>
  <c r="D595" i="12"/>
  <c r="D594" i="12"/>
  <c r="D593" i="12"/>
  <c r="F592" i="12"/>
  <c r="D592" i="12"/>
  <c r="D591" i="12"/>
  <c r="D590" i="12"/>
  <c r="E589" i="12"/>
  <c r="D589" i="12"/>
  <c r="F588" i="12"/>
  <c r="D588" i="12"/>
  <c r="D587" i="12"/>
  <c r="F586" i="12"/>
  <c r="D586" i="12"/>
  <c r="D585" i="12"/>
  <c r="D584" i="12"/>
  <c r="D583" i="12"/>
  <c r="D582" i="12"/>
  <c r="D581" i="12"/>
  <c r="D580" i="12"/>
  <c r="D579" i="12"/>
  <c r="D578" i="12"/>
  <c r="F577" i="12"/>
  <c r="D577" i="12"/>
  <c r="D576" i="12"/>
  <c r="D575" i="12"/>
  <c r="D574" i="12"/>
  <c r="D573" i="12"/>
  <c r="F572" i="12"/>
  <c r="D572" i="12"/>
  <c r="D571" i="12"/>
  <c r="F570" i="12"/>
  <c r="D570" i="12"/>
  <c r="F569" i="12"/>
  <c r="D569" i="12"/>
  <c r="D568" i="12"/>
  <c r="D567" i="12"/>
  <c r="D566" i="12"/>
  <c r="D565" i="12"/>
  <c r="F564" i="12"/>
  <c r="D564" i="12"/>
  <c r="F563" i="12"/>
  <c r="D563" i="12"/>
  <c r="D562" i="12"/>
  <c r="F561" i="12"/>
  <c r="D561" i="12"/>
  <c r="D560" i="12"/>
  <c r="F559" i="12"/>
  <c r="D559" i="12"/>
  <c r="F558" i="12"/>
  <c r="D558" i="12"/>
  <c r="F557" i="12"/>
  <c r="D557" i="12"/>
  <c r="F556" i="12"/>
  <c r="D556" i="12"/>
  <c r="D555" i="12"/>
  <c r="D554" i="12"/>
  <c r="D553" i="12"/>
  <c r="D552" i="12"/>
  <c r="D551" i="12"/>
  <c r="F550" i="12"/>
  <c r="D550" i="12"/>
  <c r="D549" i="12"/>
  <c r="D548" i="12"/>
  <c r="D547" i="12"/>
  <c r="D546" i="12"/>
  <c r="F545" i="12"/>
  <c r="D545" i="12"/>
  <c r="F544" i="12"/>
  <c r="D544" i="12"/>
  <c r="D543" i="12"/>
  <c r="F542" i="12"/>
  <c r="D542" i="12"/>
  <c r="F541" i="12"/>
  <c r="D541" i="12"/>
  <c r="D540" i="12"/>
  <c r="D539" i="12"/>
  <c r="F538" i="12"/>
  <c r="D538" i="12"/>
  <c r="D537" i="12"/>
  <c r="D536" i="12"/>
  <c r="D535" i="12"/>
  <c r="D534" i="12"/>
  <c r="D533" i="12"/>
  <c r="F532" i="12"/>
  <c r="D532" i="12"/>
  <c r="F531" i="12"/>
  <c r="D531" i="12"/>
  <c r="E530" i="12"/>
  <c r="D530" i="12"/>
  <c r="F529" i="12"/>
  <c r="D529" i="12"/>
  <c r="F528" i="12"/>
  <c r="D528" i="12"/>
  <c r="D527" i="12"/>
  <c r="D526" i="12"/>
  <c r="D525" i="12"/>
  <c r="F524" i="12"/>
  <c r="D524" i="12"/>
  <c r="F523" i="12"/>
  <c r="D523" i="12"/>
  <c r="F522" i="12"/>
  <c r="D522" i="12"/>
  <c r="F521" i="12"/>
  <c r="D521" i="12"/>
  <c r="D520" i="12"/>
  <c r="D519" i="12"/>
  <c r="D518" i="12"/>
  <c r="D517" i="12"/>
  <c r="F516" i="12"/>
  <c r="D516" i="12"/>
  <c r="D515" i="12"/>
  <c r="D514" i="12"/>
  <c r="D513" i="12"/>
  <c r="F512" i="12"/>
  <c r="D512" i="12"/>
  <c r="D511" i="12"/>
  <c r="D510" i="12"/>
  <c r="D509" i="12"/>
  <c r="D508" i="12"/>
  <c r="D507" i="12"/>
  <c r="D506" i="12"/>
  <c r="D505" i="12"/>
  <c r="F504" i="12"/>
  <c r="D504" i="12"/>
  <c r="D503" i="12"/>
  <c r="D502" i="12"/>
  <c r="F501" i="12"/>
  <c r="D501" i="12"/>
  <c r="D500" i="12"/>
  <c r="F499" i="12"/>
  <c r="D499" i="12"/>
  <c r="D498" i="12"/>
  <c r="D497" i="12"/>
  <c r="D496" i="12"/>
  <c r="D495" i="12"/>
  <c r="D494" i="12"/>
  <c r="D493" i="12"/>
  <c r="D492" i="12"/>
  <c r="D491" i="12"/>
  <c r="D490" i="12"/>
  <c r="F489" i="12"/>
  <c r="D489" i="12"/>
  <c r="F488" i="12"/>
  <c r="D488" i="12"/>
  <c r="F487" i="12"/>
  <c r="D487" i="12"/>
  <c r="F486" i="12"/>
  <c r="D486" i="12"/>
  <c r="F485" i="12"/>
  <c r="D485" i="12"/>
  <c r="D484" i="12"/>
  <c r="D483" i="12"/>
  <c r="D482" i="12"/>
  <c r="D481" i="12"/>
  <c r="F480" i="12"/>
  <c r="D480" i="12"/>
  <c r="D479" i="12"/>
  <c r="F478" i="12"/>
  <c r="D478" i="12"/>
  <c r="F477" i="12"/>
  <c r="D477" i="12"/>
  <c r="F476" i="12"/>
  <c r="D476" i="12"/>
  <c r="F475" i="12"/>
  <c r="D475" i="12"/>
  <c r="D474" i="12"/>
  <c r="D473" i="12"/>
  <c r="D472" i="12"/>
  <c r="D471" i="12"/>
  <c r="F470" i="12"/>
  <c r="D470" i="12"/>
  <c r="D469" i="12"/>
  <c r="D468" i="12"/>
  <c r="F467" i="12"/>
  <c r="D467" i="12"/>
  <c r="D466" i="12"/>
  <c r="D465" i="12"/>
  <c r="D464" i="12"/>
  <c r="F463" i="12"/>
  <c r="D463" i="12"/>
  <c r="E462" i="12"/>
  <c r="D462" i="12"/>
  <c r="F461" i="12"/>
  <c r="D461" i="12"/>
  <c r="D460" i="12"/>
  <c r="D459" i="12"/>
  <c r="F458" i="12"/>
  <c r="D458" i="12"/>
  <c r="D457" i="12"/>
  <c r="F456" i="12"/>
  <c r="D456" i="12"/>
  <c r="D455" i="12"/>
  <c r="D454" i="12"/>
  <c r="D453" i="12"/>
  <c r="F452" i="12"/>
  <c r="D452" i="12"/>
  <c r="F451" i="12"/>
  <c r="D451" i="12"/>
  <c r="F450" i="12"/>
  <c r="D450" i="12"/>
  <c r="F449" i="12"/>
  <c r="D449" i="12"/>
  <c r="D448" i="12"/>
  <c r="F447" i="12"/>
  <c r="D447" i="12"/>
  <c r="D446" i="12"/>
  <c r="F445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F428" i="12"/>
  <c r="D428" i="12"/>
  <c r="F427" i="12"/>
  <c r="D427" i="12"/>
  <c r="F426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F412" i="12"/>
  <c r="D412" i="12"/>
  <c r="D411" i="12"/>
  <c r="F410" i="12"/>
  <c r="D410" i="12"/>
  <c r="D409" i="12"/>
  <c r="D408" i="12"/>
  <c r="D407" i="12"/>
  <c r="D406" i="12"/>
  <c r="D405" i="12"/>
  <c r="D404" i="12"/>
  <c r="D403" i="12"/>
  <c r="D402" i="12"/>
  <c r="F401" i="12"/>
  <c r="D401" i="12"/>
  <c r="F400" i="12"/>
  <c r="D400" i="12"/>
  <c r="D399" i="12"/>
  <c r="D398" i="12"/>
  <c r="D397" i="12"/>
  <c r="D396" i="12"/>
  <c r="D395" i="12"/>
  <c r="D394" i="12"/>
  <c r="F393" i="12"/>
  <c r="D393" i="12"/>
  <c r="D392" i="12"/>
  <c r="D391" i="12"/>
  <c r="E390" i="12"/>
  <c r="D390" i="12"/>
  <c r="D389" i="12"/>
  <c r="D388" i="12"/>
  <c r="F387" i="12"/>
  <c r="D387" i="12"/>
  <c r="D386" i="12"/>
  <c r="D385" i="12"/>
  <c r="D384" i="12"/>
  <c r="D383" i="12"/>
  <c r="D382" i="12"/>
  <c r="D381" i="12"/>
  <c r="D380" i="12"/>
  <c r="D379" i="12"/>
  <c r="D378" i="12"/>
  <c r="D377" i="12"/>
  <c r="F376" i="12"/>
  <c r="D376" i="12"/>
  <c r="D375" i="12"/>
  <c r="F374" i="12"/>
  <c r="D374" i="12"/>
  <c r="D373" i="12"/>
  <c r="D372" i="12"/>
  <c r="D371" i="12"/>
  <c r="D370" i="12"/>
  <c r="D369" i="12"/>
  <c r="D368" i="12"/>
  <c r="D367" i="12"/>
  <c r="F366" i="12"/>
  <c r="D366" i="12"/>
  <c r="D365" i="12"/>
  <c r="F364" i="12"/>
  <c r="D364" i="12"/>
  <c r="F363" i="12"/>
  <c r="D363" i="12"/>
  <c r="F362" i="12"/>
  <c r="D362" i="12"/>
  <c r="D361" i="12"/>
  <c r="D360" i="12"/>
  <c r="D359" i="12"/>
  <c r="D358" i="12"/>
  <c r="F357" i="12"/>
  <c r="D357" i="12"/>
  <c r="D356" i="12"/>
  <c r="D355" i="12"/>
  <c r="D354" i="12"/>
  <c r="D353" i="12"/>
  <c r="D352" i="12"/>
  <c r="D351" i="12"/>
  <c r="D350" i="12"/>
  <c r="F349" i="12"/>
  <c r="D349" i="12"/>
  <c r="F348" i="12"/>
  <c r="D348" i="12"/>
  <c r="F347" i="12"/>
  <c r="D347" i="12"/>
  <c r="D346" i="12"/>
  <c r="F345" i="12"/>
  <c r="D345" i="12"/>
  <c r="F344" i="12"/>
  <c r="D344" i="12"/>
  <c r="D343" i="12"/>
  <c r="F342" i="12"/>
  <c r="D342" i="12"/>
  <c r="D341" i="12"/>
  <c r="D340" i="12"/>
  <c r="D339" i="12"/>
  <c r="F338" i="12"/>
  <c r="D338" i="12"/>
  <c r="D337" i="12"/>
  <c r="D336" i="12"/>
  <c r="F335" i="12"/>
  <c r="D335" i="12"/>
  <c r="F334" i="12"/>
  <c r="D334" i="12"/>
  <c r="D333" i="12"/>
  <c r="D332" i="12"/>
  <c r="D331" i="12"/>
  <c r="D330" i="12"/>
  <c r="F329" i="12"/>
  <c r="D329" i="12"/>
  <c r="D328" i="12"/>
  <c r="D327" i="12"/>
  <c r="D326" i="12"/>
  <c r="F325" i="12"/>
  <c r="D325" i="12"/>
  <c r="D324" i="12"/>
  <c r="D323" i="12"/>
  <c r="D322" i="12"/>
  <c r="D321" i="12"/>
  <c r="F320" i="12"/>
  <c r="D320" i="12"/>
  <c r="D319" i="12"/>
  <c r="D318" i="12"/>
  <c r="D317" i="12"/>
  <c r="D316" i="12"/>
  <c r="D315" i="12"/>
  <c r="D314" i="12"/>
  <c r="D313" i="12"/>
  <c r="F312" i="12"/>
  <c r="D312" i="12"/>
  <c r="D311" i="12"/>
  <c r="D310" i="12"/>
  <c r="D309" i="12"/>
  <c r="D308" i="12"/>
  <c r="D307" i="12"/>
  <c r="D306" i="12"/>
  <c r="D305" i="12"/>
  <c r="D304" i="12"/>
  <c r="F303" i="12"/>
  <c r="D303" i="12"/>
  <c r="F302" i="12"/>
  <c r="D302" i="12"/>
  <c r="F301" i="12"/>
  <c r="D301" i="12"/>
  <c r="D300" i="12"/>
  <c r="D299" i="12"/>
  <c r="F298" i="12"/>
  <c r="D298" i="12"/>
  <c r="D297" i="12"/>
  <c r="D296" i="12"/>
  <c r="D295" i="12"/>
  <c r="D294" i="12"/>
  <c r="F293" i="12"/>
  <c r="D293" i="12"/>
  <c r="F292" i="12"/>
  <c r="D292" i="12"/>
  <c r="D291" i="12"/>
  <c r="D290" i="12"/>
  <c r="D289" i="12"/>
  <c r="D288" i="12"/>
  <c r="F287" i="12"/>
  <c r="D287" i="12"/>
  <c r="D286" i="12"/>
  <c r="D285" i="12"/>
  <c r="D284" i="12"/>
  <c r="F283" i="12"/>
  <c r="D283" i="12"/>
  <c r="F282" i="12"/>
  <c r="D282" i="12"/>
  <c r="F281" i="12"/>
  <c r="D281" i="12"/>
  <c r="F280" i="12"/>
  <c r="D280" i="12"/>
  <c r="F279" i="12"/>
  <c r="D279" i="12"/>
  <c r="D278" i="12"/>
  <c r="D277" i="12"/>
  <c r="F276" i="12"/>
  <c r="D276" i="12"/>
  <c r="D275" i="12"/>
  <c r="D274" i="12"/>
  <c r="F273" i="12"/>
  <c r="D273" i="12"/>
  <c r="F272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F259" i="12"/>
  <c r="D259" i="12"/>
  <c r="D258" i="12"/>
  <c r="F257" i="12"/>
  <c r="D257" i="12"/>
  <c r="D256" i="12"/>
  <c r="D255" i="12"/>
  <c r="D254" i="12"/>
  <c r="F253" i="12"/>
  <c r="D253" i="12"/>
  <c r="F252" i="12"/>
  <c r="D252" i="12"/>
  <c r="D251" i="12"/>
  <c r="D250" i="12"/>
  <c r="F249" i="12"/>
  <c r="D249" i="12"/>
  <c r="D248" i="12"/>
  <c r="F247" i="12"/>
  <c r="D247" i="12"/>
  <c r="D246" i="12"/>
  <c r="D245" i="12"/>
  <c r="D244" i="12"/>
  <c r="D243" i="12"/>
  <c r="D242" i="12"/>
  <c r="D241" i="12"/>
  <c r="D240" i="12"/>
  <c r="F239" i="12"/>
  <c r="D239" i="12"/>
  <c r="F238" i="12"/>
  <c r="D238" i="12"/>
  <c r="F237" i="12"/>
  <c r="D237" i="12"/>
  <c r="D236" i="12"/>
  <c r="D235" i="12"/>
  <c r="D234" i="12"/>
  <c r="F233" i="12"/>
  <c r="D233" i="12"/>
  <c r="F232" i="12"/>
  <c r="D232" i="12"/>
  <c r="D231" i="12"/>
  <c r="D230" i="12"/>
  <c r="D229" i="12"/>
  <c r="D228" i="12"/>
  <c r="D227" i="12"/>
  <c r="F226" i="12"/>
  <c r="D226" i="12"/>
  <c r="F225" i="12"/>
  <c r="D225" i="12"/>
  <c r="F224" i="12"/>
  <c r="D224" i="12"/>
  <c r="F223" i="12"/>
  <c r="D223" i="12"/>
  <c r="F222" i="12"/>
  <c r="D222" i="12"/>
  <c r="F221" i="12"/>
  <c r="D221" i="12"/>
  <c r="F220" i="12"/>
  <c r="D220" i="12"/>
  <c r="F219" i="12"/>
  <c r="D219" i="12"/>
  <c r="F218" i="12"/>
  <c r="D218" i="12"/>
  <c r="F217" i="12"/>
  <c r="D217" i="12"/>
  <c r="D216" i="12"/>
  <c r="D215" i="12"/>
  <c r="D214" i="12"/>
  <c r="F213" i="12"/>
  <c r="D213" i="12"/>
  <c r="F212" i="12"/>
  <c r="D212" i="12"/>
  <c r="D211" i="12"/>
  <c r="D210" i="12"/>
  <c r="D209" i="12"/>
  <c r="F208" i="12"/>
  <c r="D208" i="12"/>
  <c r="D207" i="12"/>
  <c r="D206" i="12"/>
  <c r="D205" i="12"/>
  <c r="F204" i="12"/>
  <c r="D204" i="12"/>
  <c r="D203" i="12"/>
  <c r="D202" i="12"/>
  <c r="D201" i="12"/>
  <c r="D200" i="12"/>
  <c r="D199" i="12"/>
  <c r="F198" i="12"/>
  <c r="D198" i="12"/>
  <c r="D197" i="12"/>
  <c r="D196" i="12"/>
  <c r="D195" i="12"/>
  <c r="F194" i="12"/>
  <c r="D194" i="12"/>
  <c r="D193" i="12"/>
  <c r="D192" i="12"/>
  <c r="D191" i="12"/>
  <c r="D190" i="12"/>
  <c r="D189" i="12"/>
  <c r="D188" i="12"/>
  <c r="D187" i="12"/>
  <c r="D186" i="12"/>
  <c r="D185" i="12"/>
  <c r="F184" i="12"/>
  <c r="D184" i="12"/>
  <c r="F183" i="12"/>
  <c r="D183" i="12"/>
  <c r="F182" i="12"/>
  <c r="D182" i="12"/>
  <c r="F181" i="12"/>
  <c r="D181" i="12"/>
  <c r="F180" i="12"/>
  <c r="D180" i="12"/>
  <c r="F179" i="12"/>
  <c r="D179" i="12"/>
  <c r="F178" i="12"/>
  <c r="D178" i="12"/>
  <c r="F177" i="12"/>
  <c r="D177" i="12"/>
  <c r="F176" i="12"/>
  <c r="D176" i="12"/>
  <c r="F175" i="12"/>
  <c r="D175" i="12"/>
  <c r="F174" i="12"/>
  <c r="D174" i="12"/>
  <c r="D173" i="12"/>
  <c r="F172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F153" i="12"/>
  <c r="D153" i="12"/>
  <c r="D152" i="12"/>
  <c r="D151" i="12"/>
  <c r="D150" i="12"/>
  <c r="F149" i="12"/>
  <c r="D149" i="12"/>
  <c r="F148" i="12"/>
  <c r="D148" i="12"/>
  <c r="D147" i="12"/>
  <c r="D146" i="12"/>
  <c r="D145" i="12"/>
  <c r="D144" i="12"/>
  <c r="F143" i="12"/>
  <c r="D143" i="12"/>
  <c r="F142" i="12"/>
  <c r="D142" i="12"/>
  <c r="D141" i="12"/>
  <c r="D140" i="12"/>
  <c r="F139" i="12"/>
  <c r="D139" i="12"/>
  <c r="F138" i="12"/>
  <c r="D138" i="12"/>
  <c r="D137" i="12"/>
  <c r="D136" i="12"/>
  <c r="D135" i="12"/>
  <c r="D134" i="12"/>
  <c r="D133" i="12"/>
  <c r="D132" i="12"/>
  <c r="D131" i="12"/>
  <c r="F130" i="12"/>
  <c r="D130" i="12"/>
  <c r="D129" i="12"/>
  <c r="D128" i="12"/>
  <c r="D127" i="12"/>
  <c r="D126" i="12"/>
  <c r="D125" i="12"/>
  <c r="D124" i="12"/>
  <c r="D123" i="12"/>
  <c r="F122" i="12"/>
  <c r="D122" i="12"/>
  <c r="F121" i="12"/>
  <c r="D121" i="12"/>
  <c r="D120" i="12"/>
  <c r="F119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F106" i="12"/>
  <c r="D106" i="12"/>
  <c r="F105" i="12"/>
  <c r="D105" i="12"/>
  <c r="D104" i="12"/>
  <c r="D103" i="12"/>
  <c r="D102" i="12"/>
  <c r="D101" i="12"/>
  <c r="D100" i="12"/>
  <c r="D99" i="12"/>
  <c r="D98" i="12"/>
  <c r="D97" i="12"/>
  <c r="D96" i="12"/>
  <c r="D95" i="12"/>
  <c r="F94" i="12"/>
  <c r="D94" i="12"/>
  <c r="F93" i="12"/>
  <c r="D93" i="12"/>
  <c r="F92" i="12"/>
  <c r="D92" i="12"/>
  <c r="F91" i="12"/>
  <c r="D91" i="12"/>
  <c r="D90" i="12"/>
  <c r="D89" i="12"/>
  <c r="D88" i="12"/>
  <c r="D87" i="12"/>
  <c r="D86" i="12"/>
  <c r="D85" i="12"/>
  <c r="D84" i="12"/>
  <c r="F83" i="12"/>
  <c r="D83" i="12"/>
  <c r="D82" i="12"/>
  <c r="D81" i="12"/>
  <c r="F80" i="12"/>
  <c r="D80" i="12"/>
  <c r="D79" i="12"/>
  <c r="D78" i="12"/>
  <c r="D77" i="12"/>
  <c r="D76" i="12"/>
  <c r="D75" i="12"/>
  <c r="D74" i="12"/>
  <c r="D73" i="12"/>
  <c r="D72" i="12"/>
  <c r="D71" i="12"/>
  <c r="F70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E54" i="12"/>
  <c r="D54" i="12"/>
  <c r="D53" i="12"/>
  <c r="D52" i="12"/>
  <c r="D51" i="12"/>
  <c r="D50" i="12"/>
  <c r="D49" i="12"/>
  <c r="D48" i="12"/>
  <c r="D47" i="12"/>
  <c r="F46" i="12"/>
  <c r="D46" i="12"/>
  <c r="F45" i="12"/>
  <c r="D45" i="12"/>
  <c r="D44" i="12"/>
  <c r="D43" i="12"/>
  <c r="D42" i="12"/>
  <c r="F41" i="12"/>
  <c r="D41" i="12"/>
  <c r="D40" i="12"/>
  <c r="D39" i="12"/>
  <c r="D38" i="12"/>
  <c r="D37" i="12"/>
  <c r="D36" i="12"/>
  <c r="D35" i="12"/>
  <c r="D34" i="12"/>
  <c r="F33" i="12"/>
  <c r="D33" i="12"/>
  <c r="D32" i="12"/>
  <c r="D31" i="12"/>
  <c r="D30" i="12"/>
  <c r="D29" i="12"/>
  <c r="D28" i="12"/>
  <c r="D27" i="12"/>
  <c r="D26" i="12"/>
  <c r="F25" i="12"/>
  <c r="D25" i="12"/>
  <c r="D24" i="12"/>
  <c r="D23" i="12"/>
  <c r="D22" i="12"/>
  <c r="F21" i="12"/>
  <c r="D21" i="12"/>
  <c r="F20" i="12"/>
  <c r="D20" i="12"/>
  <c r="D19" i="12"/>
  <c r="D18" i="12"/>
  <c r="F17" i="12"/>
  <c r="D17" i="12"/>
  <c r="D16" i="12"/>
  <c r="D15" i="12"/>
  <c r="D14" i="12"/>
  <c r="D13" i="12"/>
  <c r="F12" i="12"/>
  <c r="D12" i="12"/>
  <c r="D11" i="12"/>
  <c r="F10" i="12"/>
  <c r="D10" i="12"/>
  <c r="F9" i="12"/>
  <c r="D9" i="12"/>
  <c r="F8" i="12"/>
  <c r="D8" i="12"/>
  <c r="D7" i="12"/>
  <c r="D6" i="12"/>
  <c r="D5" i="12"/>
  <c r="D4" i="12"/>
  <c r="D3" i="12"/>
  <c r="D2" i="12"/>
  <c r="C7" i="9" l="1"/>
  <c r="C44" i="9"/>
  <c r="D270" i="9" l="1"/>
  <c r="C270" i="9"/>
  <c r="D269" i="9"/>
  <c r="C269" i="9"/>
  <c r="D268" i="9"/>
  <c r="C268" i="9"/>
  <c r="D267" i="9"/>
  <c r="C267" i="9"/>
  <c r="D229" i="9"/>
  <c r="C229" i="9"/>
  <c r="D228" i="9"/>
  <c r="C228" i="9"/>
  <c r="D227" i="9"/>
  <c r="C227" i="9"/>
  <c r="D226" i="9"/>
  <c r="C226" i="9"/>
  <c r="E269" i="9" l="1"/>
  <c r="E270" i="9"/>
  <c r="D271" i="9"/>
  <c r="E268" i="9"/>
  <c r="E267" i="9"/>
  <c r="C271" i="9"/>
  <c r="E228" i="9"/>
  <c r="C230" i="9"/>
  <c r="D230" i="9"/>
  <c r="E227" i="9"/>
  <c r="E229" i="9"/>
  <c r="E226" i="9"/>
  <c r="E271" i="9" l="1"/>
  <c r="E230" i="9"/>
  <c r="D90" i="9" l="1"/>
  <c r="C90" i="9"/>
  <c r="D89" i="9"/>
  <c r="C89" i="9"/>
  <c r="D88" i="9"/>
  <c r="C88" i="9"/>
  <c r="D87" i="9"/>
  <c r="C87" i="9"/>
  <c r="D314" i="9"/>
  <c r="C314" i="9"/>
  <c r="D313" i="9"/>
  <c r="C313" i="9"/>
  <c r="D312" i="9"/>
  <c r="C312" i="9"/>
  <c r="D311" i="9"/>
  <c r="C311" i="9"/>
  <c r="D307" i="9"/>
  <c r="C307" i="9"/>
  <c r="D306" i="9"/>
  <c r="C306" i="9"/>
  <c r="D305" i="9"/>
  <c r="C305" i="9"/>
  <c r="D304" i="9"/>
  <c r="C304" i="9"/>
  <c r="E90" i="9" l="1"/>
  <c r="E87" i="9"/>
  <c r="E89" i="9"/>
  <c r="E88" i="9"/>
  <c r="D91" i="9"/>
  <c r="C91" i="9"/>
  <c r="E312" i="9"/>
  <c r="E314" i="9"/>
  <c r="E306" i="9"/>
  <c r="E313" i="9"/>
  <c r="C315" i="9"/>
  <c r="D315" i="9"/>
  <c r="E311" i="9"/>
  <c r="E315" i="9" s="1"/>
  <c r="E307" i="9"/>
  <c r="E305" i="9"/>
  <c r="C308" i="9"/>
  <c r="D308" i="9"/>
  <c r="E304" i="9"/>
  <c r="E308" i="9" s="1"/>
  <c r="D342" i="9"/>
  <c r="C342" i="9"/>
  <c r="D341" i="9"/>
  <c r="C341" i="9"/>
  <c r="D340" i="9"/>
  <c r="C340" i="9"/>
  <c r="D339" i="9"/>
  <c r="C339" i="9"/>
  <c r="D575" i="9"/>
  <c r="C575" i="9"/>
  <c r="D574" i="9"/>
  <c r="C574" i="9"/>
  <c r="D573" i="9"/>
  <c r="C573" i="9"/>
  <c r="D572" i="9"/>
  <c r="C572" i="9"/>
  <c r="C561" i="9"/>
  <c r="E91" i="9" l="1"/>
  <c r="E340" i="9"/>
  <c r="E342" i="9"/>
  <c r="E341" i="9"/>
  <c r="D343" i="9"/>
  <c r="C343" i="9"/>
  <c r="E574" i="9"/>
  <c r="E339" i="9"/>
  <c r="E575" i="9"/>
  <c r="C576" i="9"/>
  <c r="D576" i="9"/>
  <c r="E573" i="9"/>
  <c r="E572" i="9"/>
  <c r="E343" i="9" l="1"/>
  <c r="E576" i="9"/>
  <c r="C584" i="9"/>
  <c r="D584" i="9"/>
  <c r="C579" i="9" l="1"/>
  <c r="D596" i="9" l="1"/>
  <c r="C596" i="9"/>
  <c r="D595" i="9"/>
  <c r="C595" i="9"/>
  <c r="D593" i="9"/>
  <c r="C593" i="9"/>
  <c r="D592" i="9"/>
  <c r="C592" i="9"/>
  <c r="D591" i="9"/>
  <c r="C591" i="9"/>
  <c r="D590" i="9"/>
  <c r="C590" i="9"/>
  <c r="D585" i="9"/>
  <c r="D582" i="9"/>
  <c r="C582" i="9"/>
  <c r="D581" i="9"/>
  <c r="C581" i="9"/>
  <c r="D580" i="9"/>
  <c r="C580" i="9"/>
  <c r="D579" i="9"/>
  <c r="E579" i="9" s="1"/>
  <c r="E592" i="9" l="1"/>
  <c r="E595" i="9"/>
  <c r="E580" i="9"/>
  <c r="E591" i="9"/>
  <c r="E593" i="9"/>
  <c r="E596" i="9"/>
  <c r="E581" i="9"/>
  <c r="C585" i="9"/>
  <c r="E584" i="9"/>
  <c r="E585" i="9" s="1"/>
  <c r="D597" i="9"/>
  <c r="E582" i="9"/>
  <c r="E590" i="9"/>
  <c r="C597" i="9"/>
  <c r="C594" i="9"/>
  <c r="D594" i="9"/>
  <c r="C583" i="9"/>
  <c r="D583" i="9"/>
  <c r="E597" i="9" l="1"/>
  <c r="E583" i="9"/>
  <c r="E587" i="9" s="1"/>
  <c r="E594" i="9"/>
  <c r="E599" i="9" l="1"/>
  <c r="C487" i="9"/>
  <c r="C566" i="9"/>
  <c r="D566" i="9"/>
  <c r="C567" i="9"/>
  <c r="D567" i="9"/>
  <c r="C568" i="9"/>
  <c r="D568" i="9"/>
  <c r="D565" i="9"/>
  <c r="C565" i="9"/>
  <c r="D561" i="9"/>
  <c r="E561" i="9" s="1"/>
  <c r="E562" i="9" s="1"/>
  <c r="G559" i="9" s="1"/>
  <c r="C557" i="9"/>
  <c r="D557" i="9"/>
  <c r="C558" i="9"/>
  <c r="D558" i="9"/>
  <c r="C559" i="9"/>
  <c r="D559" i="9"/>
  <c r="D556" i="9"/>
  <c r="C556" i="9"/>
  <c r="C550" i="9"/>
  <c r="D550" i="9"/>
  <c r="D549" i="9"/>
  <c r="C549" i="9"/>
  <c r="C545" i="9"/>
  <c r="D545" i="9"/>
  <c r="C546" i="9"/>
  <c r="D546" i="9"/>
  <c r="C547" i="9"/>
  <c r="D547" i="9"/>
  <c r="D544" i="9"/>
  <c r="C544" i="9"/>
  <c r="D538" i="9"/>
  <c r="C538" i="9"/>
  <c r="C534" i="9"/>
  <c r="D534" i="9"/>
  <c r="C535" i="9"/>
  <c r="D535" i="9"/>
  <c r="C536" i="9"/>
  <c r="D536" i="9"/>
  <c r="D533" i="9"/>
  <c r="C533" i="9"/>
  <c r="D527" i="9"/>
  <c r="C527" i="9"/>
  <c r="C523" i="9"/>
  <c r="D523" i="9"/>
  <c r="C524" i="9"/>
  <c r="D524" i="9"/>
  <c r="C525" i="9"/>
  <c r="D525" i="9"/>
  <c r="D522" i="9"/>
  <c r="C522" i="9"/>
  <c r="D515" i="9"/>
  <c r="C515" i="9"/>
  <c r="C511" i="9"/>
  <c r="D511" i="9"/>
  <c r="C512" i="9"/>
  <c r="D512" i="9"/>
  <c r="C513" i="9"/>
  <c r="D513" i="9"/>
  <c r="D510" i="9"/>
  <c r="C510" i="9"/>
  <c r="C504" i="9"/>
  <c r="D504" i="9"/>
  <c r="C505" i="9"/>
  <c r="D505" i="9"/>
  <c r="C506" i="9"/>
  <c r="D506" i="9"/>
  <c r="D503" i="9"/>
  <c r="C503" i="9"/>
  <c r="C497" i="9"/>
  <c r="D497" i="9"/>
  <c r="C498" i="9"/>
  <c r="D498" i="9"/>
  <c r="C499" i="9"/>
  <c r="D499" i="9"/>
  <c r="D496" i="9"/>
  <c r="C496" i="9"/>
  <c r="D491" i="9"/>
  <c r="C491" i="9"/>
  <c r="D487" i="9"/>
  <c r="C488" i="9"/>
  <c r="D488" i="9"/>
  <c r="C489" i="9"/>
  <c r="D489" i="9"/>
  <c r="D486" i="9"/>
  <c r="C486" i="9"/>
  <c r="D479" i="9"/>
  <c r="D480" i="9" s="1"/>
  <c r="C479" i="9"/>
  <c r="C480" i="9" s="1"/>
  <c r="C475" i="9"/>
  <c r="D475" i="9"/>
  <c r="C476" i="9"/>
  <c r="D476" i="9"/>
  <c r="C477" i="9"/>
  <c r="D477" i="9"/>
  <c r="D474" i="9"/>
  <c r="C474" i="9"/>
  <c r="C465" i="9"/>
  <c r="D465" i="9"/>
  <c r="C466" i="9"/>
  <c r="D466" i="9"/>
  <c r="D464" i="9"/>
  <c r="C464" i="9"/>
  <c r="C460" i="9"/>
  <c r="D460" i="9"/>
  <c r="C461" i="9"/>
  <c r="D461" i="9"/>
  <c r="C462" i="9"/>
  <c r="D462" i="9"/>
  <c r="D459" i="9"/>
  <c r="C459" i="9"/>
  <c r="C451" i="9"/>
  <c r="D451" i="9"/>
  <c r="C452" i="9"/>
  <c r="D452" i="9"/>
  <c r="C453" i="9"/>
  <c r="D453" i="9"/>
  <c r="D450" i="9"/>
  <c r="C450" i="9"/>
  <c r="D446" i="9"/>
  <c r="C446" i="9"/>
  <c r="C442" i="9"/>
  <c r="D442" i="9"/>
  <c r="C443" i="9"/>
  <c r="D443" i="9"/>
  <c r="C444" i="9"/>
  <c r="D444" i="9"/>
  <c r="D441" i="9"/>
  <c r="C441" i="9"/>
  <c r="C435" i="9"/>
  <c r="D435" i="9"/>
  <c r="C436" i="9"/>
  <c r="D436" i="9"/>
  <c r="C437" i="9"/>
  <c r="D437" i="9"/>
  <c r="D434" i="9"/>
  <c r="C434" i="9"/>
  <c r="D430" i="9"/>
  <c r="C430" i="9"/>
  <c r="C426" i="9"/>
  <c r="D426" i="9"/>
  <c r="C427" i="9"/>
  <c r="D427" i="9"/>
  <c r="C428" i="9"/>
  <c r="D428" i="9"/>
  <c r="D425" i="9"/>
  <c r="C425" i="9"/>
  <c r="D419" i="9"/>
  <c r="C419" i="9"/>
  <c r="C415" i="9"/>
  <c r="D415" i="9"/>
  <c r="C416" i="9"/>
  <c r="D416" i="9"/>
  <c r="C417" i="9"/>
  <c r="D417" i="9"/>
  <c r="D414" i="9"/>
  <c r="C414" i="9"/>
  <c r="D409" i="9"/>
  <c r="C409" i="9"/>
  <c r="C405" i="9"/>
  <c r="D405" i="9"/>
  <c r="C406" i="9"/>
  <c r="D406" i="9"/>
  <c r="C407" i="9"/>
  <c r="D407" i="9"/>
  <c r="D404" i="9"/>
  <c r="C404" i="9"/>
  <c r="D397" i="9"/>
  <c r="C397" i="9"/>
  <c r="C393" i="9"/>
  <c r="D393" i="9"/>
  <c r="C394" i="9"/>
  <c r="D394" i="9"/>
  <c r="C395" i="9"/>
  <c r="D395" i="9"/>
  <c r="D392" i="9"/>
  <c r="C392" i="9"/>
  <c r="C386" i="9"/>
  <c r="D386" i="9"/>
  <c r="C387" i="9"/>
  <c r="D387" i="9"/>
  <c r="C388" i="9"/>
  <c r="D388" i="9"/>
  <c r="D385" i="9"/>
  <c r="C385" i="9"/>
  <c r="D378" i="9"/>
  <c r="C378" i="9"/>
  <c r="C374" i="9"/>
  <c r="D374" i="9"/>
  <c r="C375" i="9"/>
  <c r="D375" i="9"/>
  <c r="C376" i="9"/>
  <c r="D376" i="9"/>
  <c r="D373" i="9"/>
  <c r="C373" i="9"/>
  <c r="C365" i="9"/>
  <c r="D365" i="9"/>
  <c r="C366" i="9"/>
  <c r="D366" i="9"/>
  <c r="C367" i="9"/>
  <c r="D367" i="9"/>
  <c r="D364" i="9"/>
  <c r="C364" i="9"/>
  <c r="C358" i="9"/>
  <c r="D358" i="9"/>
  <c r="C359" i="9"/>
  <c r="D359" i="9"/>
  <c r="C360" i="9"/>
  <c r="D360" i="9"/>
  <c r="D357" i="9"/>
  <c r="C357" i="9"/>
  <c r="D351" i="9"/>
  <c r="C351" i="9"/>
  <c r="C347" i="9"/>
  <c r="D347" i="9"/>
  <c r="C348" i="9"/>
  <c r="D348" i="9"/>
  <c r="C349" i="9"/>
  <c r="D349" i="9"/>
  <c r="D346" i="9"/>
  <c r="C346" i="9"/>
  <c r="D334" i="9"/>
  <c r="C334" i="9"/>
  <c r="C330" i="9"/>
  <c r="D330" i="9"/>
  <c r="C331" i="9"/>
  <c r="D331" i="9"/>
  <c r="C332" i="9"/>
  <c r="D332" i="9"/>
  <c r="D329" i="9"/>
  <c r="C329" i="9"/>
  <c r="D323" i="9"/>
  <c r="C323" i="9"/>
  <c r="C319" i="9"/>
  <c r="D319" i="9"/>
  <c r="C320" i="9"/>
  <c r="D320" i="9"/>
  <c r="C321" i="9"/>
  <c r="D321" i="9"/>
  <c r="D318" i="9"/>
  <c r="C318" i="9"/>
  <c r="D301" i="9"/>
  <c r="C301" i="9"/>
  <c r="E301" i="9" s="1"/>
  <c r="C297" i="9"/>
  <c r="D297" i="9"/>
  <c r="C298" i="9"/>
  <c r="D298" i="9"/>
  <c r="C299" i="9"/>
  <c r="D299" i="9"/>
  <c r="D296" i="9"/>
  <c r="C296" i="9"/>
  <c r="D288" i="9"/>
  <c r="C288" i="9"/>
  <c r="C284" i="9"/>
  <c r="D284" i="9"/>
  <c r="C285" i="9"/>
  <c r="D285" i="9"/>
  <c r="C286" i="9"/>
  <c r="D286" i="9"/>
  <c r="C283" i="9"/>
  <c r="E283" i="9" s="1"/>
  <c r="C261" i="9"/>
  <c r="D261" i="9"/>
  <c r="C262" i="9"/>
  <c r="D262" i="9"/>
  <c r="C263" i="9"/>
  <c r="D263" i="9"/>
  <c r="D260" i="9"/>
  <c r="C260" i="9"/>
  <c r="C254" i="9"/>
  <c r="D254" i="9"/>
  <c r="C255" i="9"/>
  <c r="D255" i="9"/>
  <c r="C256" i="9"/>
  <c r="D256" i="9"/>
  <c r="D253" i="9"/>
  <c r="C253" i="9"/>
  <c r="C247" i="9"/>
  <c r="D247" i="9"/>
  <c r="C248" i="9"/>
  <c r="D248" i="9"/>
  <c r="C249" i="9"/>
  <c r="D249" i="9"/>
  <c r="D246" i="9"/>
  <c r="C246" i="9"/>
  <c r="D241" i="9"/>
  <c r="C241" i="9"/>
  <c r="C237" i="9"/>
  <c r="D237" i="9"/>
  <c r="C238" i="9"/>
  <c r="D238" i="9"/>
  <c r="C239" i="9"/>
  <c r="D239" i="9"/>
  <c r="D236" i="9"/>
  <c r="C236" i="9"/>
  <c r="D222" i="9"/>
  <c r="C222" i="9"/>
  <c r="C218" i="9"/>
  <c r="D218" i="9"/>
  <c r="C219" i="9"/>
  <c r="D219" i="9"/>
  <c r="C220" i="9"/>
  <c r="D220" i="9"/>
  <c r="D217" i="9"/>
  <c r="C217" i="9"/>
  <c r="C210" i="9"/>
  <c r="D210" i="9"/>
  <c r="C211" i="9"/>
  <c r="D211" i="9"/>
  <c r="C212" i="9"/>
  <c r="D212" i="9"/>
  <c r="D209" i="9"/>
  <c r="C209" i="9"/>
  <c r="C203" i="9"/>
  <c r="D203" i="9"/>
  <c r="C204" i="9"/>
  <c r="D204" i="9"/>
  <c r="C205" i="9"/>
  <c r="D205" i="9"/>
  <c r="D202" i="9"/>
  <c r="C202" i="9"/>
  <c r="C196" i="9"/>
  <c r="D196" i="9"/>
  <c r="C197" i="9"/>
  <c r="D197" i="9"/>
  <c r="C198" i="9"/>
  <c r="D198" i="9"/>
  <c r="D195" i="9"/>
  <c r="C195" i="9"/>
  <c r="C189" i="9"/>
  <c r="D189" i="9"/>
  <c r="C190" i="9"/>
  <c r="D190" i="9"/>
  <c r="C191" i="9"/>
  <c r="D191" i="9"/>
  <c r="D188" i="9"/>
  <c r="C188" i="9"/>
  <c r="C182" i="9"/>
  <c r="D182" i="9"/>
  <c r="C183" i="9"/>
  <c r="D183" i="9"/>
  <c r="C184" i="9"/>
  <c r="D184" i="9"/>
  <c r="D181" i="9"/>
  <c r="C181" i="9"/>
  <c r="C175" i="9"/>
  <c r="D175" i="9"/>
  <c r="C176" i="9"/>
  <c r="D176" i="9"/>
  <c r="C177" i="9"/>
  <c r="D177" i="9"/>
  <c r="D174" i="9"/>
  <c r="C174" i="9"/>
  <c r="D167" i="9"/>
  <c r="C167" i="9"/>
  <c r="C163" i="9"/>
  <c r="D163" i="9"/>
  <c r="C164" i="9"/>
  <c r="D164" i="9"/>
  <c r="C165" i="9"/>
  <c r="D165" i="9"/>
  <c r="D162" i="9"/>
  <c r="C162" i="9"/>
  <c r="C156" i="9"/>
  <c r="D156" i="9"/>
  <c r="C157" i="9"/>
  <c r="D157" i="9"/>
  <c r="C158" i="9"/>
  <c r="D158" i="9"/>
  <c r="D155" i="9"/>
  <c r="C155" i="9"/>
  <c r="D149" i="9"/>
  <c r="C149" i="9"/>
  <c r="C145" i="9"/>
  <c r="D145" i="9"/>
  <c r="C146" i="9"/>
  <c r="D146" i="9"/>
  <c r="C147" i="9"/>
  <c r="D147" i="9"/>
  <c r="D144" i="9"/>
  <c r="C144" i="9"/>
  <c r="D138" i="9"/>
  <c r="C138" i="9"/>
  <c r="C134" i="9"/>
  <c r="D134" i="9"/>
  <c r="C135" i="9"/>
  <c r="D135" i="9"/>
  <c r="C136" i="9"/>
  <c r="D136" i="9"/>
  <c r="D133" i="9"/>
  <c r="C133" i="9"/>
  <c r="D127" i="9"/>
  <c r="C127" i="9"/>
  <c r="C123" i="9"/>
  <c r="D123" i="9"/>
  <c r="C124" i="9"/>
  <c r="D124" i="9"/>
  <c r="C125" i="9"/>
  <c r="D125" i="9"/>
  <c r="D122" i="9"/>
  <c r="C122" i="9"/>
  <c r="D116" i="9"/>
  <c r="C116" i="9"/>
  <c r="C112" i="9"/>
  <c r="D112" i="9"/>
  <c r="C113" i="9"/>
  <c r="D113" i="9"/>
  <c r="C114" i="9"/>
  <c r="D114" i="9"/>
  <c r="D111" i="9"/>
  <c r="C111" i="9"/>
  <c r="D101" i="9"/>
  <c r="C101" i="9"/>
  <c r="C102" i="9" s="1"/>
  <c r="C97" i="9"/>
  <c r="D97" i="9"/>
  <c r="C98" i="9"/>
  <c r="D98" i="9"/>
  <c r="C99" i="9"/>
  <c r="D99" i="9"/>
  <c r="D96" i="9"/>
  <c r="C96" i="9"/>
  <c r="C83" i="9"/>
  <c r="D83" i="9"/>
  <c r="D82" i="9"/>
  <c r="C82" i="9"/>
  <c r="C78" i="9"/>
  <c r="D78" i="9"/>
  <c r="C79" i="9"/>
  <c r="D79" i="9"/>
  <c r="C80" i="9"/>
  <c r="D80" i="9"/>
  <c r="D77" i="9"/>
  <c r="C77" i="9"/>
  <c r="D55" i="9"/>
  <c r="C55" i="9"/>
  <c r="C51" i="9"/>
  <c r="D51" i="9"/>
  <c r="C52" i="9"/>
  <c r="D52" i="9"/>
  <c r="C53" i="9"/>
  <c r="D53" i="9"/>
  <c r="D50" i="9"/>
  <c r="C50" i="9"/>
  <c r="D44" i="9"/>
  <c r="C45" i="9"/>
  <c r="C40" i="9"/>
  <c r="D40" i="9"/>
  <c r="C41" i="9"/>
  <c r="D41" i="9"/>
  <c r="C42" i="9"/>
  <c r="D42" i="9"/>
  <c r="D39" i="9"/>
  <c r="C39" i="9"/>
  <c r="C33" i="9"/>
  <c r="D33" i="9"/>
  <c r="C34" i="9"/>
  <c r="D34" i="9"/>
  <c r="C35" i="9"/>
  <c r="D35" i="9"/>
  <c r="D32" i="9"/>
  <c r="C32" i="9"/>
  <c r="C25" i="9"/>
  <c r="D25" i="9"/>
  <c r="C26" i="9"/>
  <c r="D26" i="9"/>
  <c r="C27" i="9"/>
  <c r="D27" i="9"/>
  <c r="D24" i="9"/>
  <c r="C24" i="9"/>
  <c r="D18" i="9"/>
  <c r="C18" i="9"/>
  <c r="C14" i="9"/>
  <c r="D14" i="9"/>
  <c r="C15" i="9"/>
  <c r="D15" i="9"/>
  <c r="C16" i="9"/>
  <c r="D16" i="9"/>
  <c r="D13" i="9"/>
  <c r="C13" i="9"/>
  <c r="D7" i="9"/>
  <c r="D8" i="9" s="1"/>
  <c r="D3" i="9"/>
  <c r="D4" i="9"/>
  <c r="D5" i="9"/>
  <c r="D2" i="9"/>
  <c r="C8" i="9"/>
  <c r="C3" i="9"/>
  <c r="C4" i="9"/>
  <c r="C5" i="9"/>
  <c r="C2" i="9"/>
  <c r="E284" i="9" l="1"/>
  <c r="E515" i="9"/>
  <c r="E516" i="9" s="1"/>
  <c r="E477" i="9"/>
  <c r="E296" i="9"/>
  <c r="E415" i="9"/>
  <c r="E217" i="9"/>
  <c r="E222" i="9"/>
  <c r="E223" i="9" s="1"/>
  <c r="H222" i="9" s="1"/>
  <c r="E218" i="9"/>
  <c r="E414" i="9"/>
  <c r="C490" i="9"/>
  <c r="E5" i="9"/>
  <c r="D28" i="9"/>
  <c r="E114" i="9"/>
  <c r="E112" i="9"/>
  <c r="D213" i="9"/>
  <c r="D17" i="9"/>
  <c r="E15" i="9"/>
  <c r="E4" i="9"/>
  <c r="C54" i="9"/>
  <c r="C115" i="9"/>
  <c r="C6" i="9"/>
  <c r="C28" i="9"/>
  <c r="C213" i="9"/>
  <c r="D490" i="9"/>
  <c r="D36" i="9"/>
  <c r="C84" i="9"/>
  <c r="C36" i="9"/>
  <c r="D54" i="9"/>
  <c r="E99" i="9"/>
  <c r="D115" i="9"/>
  <c r="E113" i="9"/>
  <c r="E16" i="9"/>
  <c r="E14" i="9"/>
  <c r="E3" i="9"/>
  <c r="C17" i="9"/>
  <c r="E18" i="9"/>
  <c r="D81" i="9"/>
  <c r="C81" i="9"/>
  <c r="E111" i="9"/>
  <c r="E2" i="9"/>
  <c r="E7" i="9"/>
  <c r="E8" i="9" s="1"/>
  <c r="E115" i="9" l="1"/>
  <c r="E6" i="9"/>
  <c r="E10" i="9" s="1"/>
  <c r="E567" i="9" l="1"/>
  <c r="C569" i="9"/>
  <c r="D569" i="9"/>
  <c r="E566" i="9"/>
  <c r="E568" i="9"/>
  <c r="E565" i="9"/>
  <c r="E569" i="9" l="1"/>
  <c r="E550" i="9" l="1"/>
  <c r="C551" i="9"/>
  <c r="D551" i="9" l="1"/>
  <c r="E533" i="9"/>
  <c r="C168" i="9" l="1"/>
  <c r="E163" i="9"/>
  <c r="C166" i="9" l="1"/>
  <c r="E165" i="9"/>
  <c r="C192" i="9"/>
  <c r="D185" i="9"/>
  <c r="D199" i="9" l="1"/>
  <c r="C206" i="9"/>
  <c r="D206" i="9"/>
  <c r="D192" i="9"/>
  <c r="C178" i="9"/>
  <c r="C199" i="9"/>
  <c r="C185" i="9"/>
  <c r="D178" i="9"/>
  <c r="D168" i="9"/>
  <c r="E167" i="9"/>
  <c r="E168" i="9" s="1"/>
  <c r="H170" i="9" s="1"/>
  <c r="E175" i="9"/>
  <c r="E177" i="9"/>
  <c r="E176" i="9"/>
  <c r="D166" i="9"/>
  <c r="E174" i="9"/>
  <c r="E178" i="9" l="1"/>
  <c r="C562" i="9" l="1"/>
  <c r="E558" i="9" l="1"/>
  <c r="C560" i="9"/>
  <c r="E557" i="9"/>
  <c r="E559" i="9"/>
  <c r="D560" i="9"/>
  <c r="E556" i="9"/>
  <c r="D562" i="9"/>
  <c r="E560" i="9" l="1"/>
  <c r="G558" i="9" s="1"/>
  <c r="G560" i="9" s="1"/>
  <c r="C150" i="9"/>
  <c r="C431" i="9" l="1"/>
  <c r="E407" i="9"/>
  <c r="C537" i="9" l="1"/>
  <c r="C492" i="9"/>
  <c r="C500" i="9"/>
  <c r="E496" i="9"/>
  <c r="C548" i="9"/>
  <c r="C408" i="9"/>
  <c r="C429" i="9"/>
  <c r="C438" i="9"/>
  <c r="C350" i="9"/>
  <c r="C418" i="9"/>
  <c r="C148" i="9"/>
  <c r="C159" i="9"/>
  <c r="C126" i="9"/>
  <c r="E446" i="9" l="1"/>
  <c r="E447" i="9" s="1"/>
  <c r="E549" i="9" l="1"/>
  <c r="E551" i="9" s="1"/>
  <c r="C539" i="9"/>
  <c r="D539" i="9" l="1"/>
  <c r="E538" i="9"/>
  <c r="D537" i="9"/>
  <c r="D548" i="9"/>
  <c r="E534" i="9"/>
  <c r="E544" i="9"/>
  <c r="E545" i="9"/>
  <c r="E546" i="9"/>
  <c r="E535" i="9"/>
  <c r="E547" i="9"/>
  <c r="E536" i="9"/>
  <c r="E539" i="9" l="1"/>
  <c r="E537" i="9"/>
  <c r="E548" i="9"/>
  <c r="E553" i="9" s="1"/>
  <c r="E435" i="9"/>
  <c r="E434" i="9"/>
  <c r="E541" i="9" l="1"/>
  <c r="E436" i="9"/>
  <c r="E437" i="9"/>
  <c r="D438" i="9"/>
  <c r="E438" i="9" l="1"/>
  <c r="E441" i="9" l="1"/>
  <c r="C242" i="9"/>
  <c r="E158" i="9"/>
  <c r="D150" i="9"/>
  <c r="E80" i="9"/>
  <c r="D492" i="9" l="1"/>
  <c r="E491" i="9"/>
  <c r="E492" i="9" s="1"/>
  <c r="H488" i="9" s="1"/>
  <c r="D500" i="9"/>
  <c r="D418" i="9"/>
  <c r="D148" i="9"/>
  <c r="D159" i="9"/>
  <c r="E443" i="9"/>
  <c r="E442" i="9"/>
  <c r="E444" i="9"/>
  <c r="C447" i="9"/>
  <c r="E239" i="9"/>
  <c r="E261" i="9"/>
  <c r="E263" i="9"/>
  <c r="D264" i="9"/>
  <c r="D6" i="9"/>
  <c r="E260" i="9"/>
  <c r="E262" i="9"/>
  <c r="C264" i="9"/>
  <c r="E445" i="9" l="1"/>
  <c r="E264" i="9"/>
  <c r="E210" i="9" l="1"/>
  <c r="E188" i="9"/>
  <c r="E513" i="9"/>
  <c r="E196" i="9"/>
  <c r="E499" i="9"/>
  <c r="D396" i="9"/>
  <c r="E211" i="9"/>
  <c r="E506" i="9"/>
  <c r="D514" i="9"/>
  <c r="D516" i="9"/>
  <c r="E523" i="9"/>
  <c r="E465" i="9"/>
  <c r="E149" i="9" l="1"/>
  <c r="D528" i="9"/>
  <c r="E409" i="9"/>
  <c r="E410" i="9" s="1"/>
  <c r="E451" i="9"/>
  <c r="E488" i="9"/>
  <c r="E77" i="9"/>
  <c r="E527" i="9"/>
  <c r="E528" i="9" s="1"/>
  <c r="E189" i="9"/>
  <c r="E393" i="9"/>
  <c r="E453" i="9"/>
  <c r="D398" i="9"/>
  <c r="D526" i="9"/>
  <c r="E191" i="9"/>
  <c r="E489" i="9"/>
  <c r="E464" i="9"/>
  <c r="E487" i="9"/>
  <c r="E525" i="9"/>
  <c r="E511" i="9"/>
  <c r="E241" i="9"/>
  <c r="E242" i="9" s="1"/>
  <c r="H248" i="9" s="1"/>
  <c r="E204" i="9"/>
  <c r="E460" i="9"/>
  <c r="E205" i="9"/>
  <c r="D507" i="9"/>
  <c r="E190" i="9"/>
  <c r="E197" i="9"/>
  <c r="E203" i="9"/>
  <c r="E212" i="9"/>
  <c r="E452" i="9"/>
  <c r="E459" i="9"/>
  <c r="E198" i="9"/>
  <c r="E524" i="9"/>
  <c r="E498" i="9"/>
  <c r="E395" i="9"/>
  <c r="D454" i="9"/>
  <c r="E512" i="9"/>
  <c r="C454" i="9"/>
  <c r="E450" i="9"/>
  <c r="E497" i="9"/>
  <c r="C507" i="9"/>
  <c r="E503" i="9"/>
  <c r="E394" i="9"/>
  <c r="E504" i="9"/>
  <c r="E505" i="9"/>
  <c r="C528" i="9"/>
  <c r="E202" i="9"/>
  <c r="C526" i="9"/>
  <c r="E522" i="9"/>
  <c r="E397" i="9"/>
  <c r="C398" i="9"/>
  <c r="E209" i="9"/>
  <c r="E486" i="9"/>
  <c r="E510" i="9"/>
  <c r="C514" i="9"/>
  <c r="C396" i="9"/>
  <c r="E392" i="9"/>
  <c r="C516" i="9"/>
  <c r="E195" i="9"/>
  <c r="E419" i="9"/>
  <c r="E420" i="9" s="1"/>
  <c r="E416" i="9"/>
  <c r="E417" i="9"/>
  <c r="C420" i="9"/>
  <c r="D420" i="9"/>
  <c r="E514" i="9" l="1"/>
  <c r="E418" i="9"/>
  <c r="E422" i="9" s="1"/>
  <c r="E213" i="9"/>
  <c r="E192" i="9"/>
  <c r="E490" i="9"/>
  <c r="E500" i="9"/>
  <c r="E507" i="9"/>
  <c r="E454" i="9"/>
  <c r="H415" i="9"/>
  <c r="E526" i="9"/>
  <c r="E530" i="9" s="1"/>
  <c r="E199" i="9"/>
  <c r="E396" i="9"/>
  <c r="E398" i="9"/>
  <c r="E206" i="9"/>
  <c r="E518" i="9" l="1"/>
  <c r="H487" i="9"/>
  <c r="H489" i="9" s="1"/>
  <c r="E400" i="9"/>
  <c r="E494" i="9"/>
  <c r="E479" i="9"/>
  <c r="E181" i="9" l="1"/>
  <c r="E184" i="9"/>
  <c r="E183" i="9"/>
  <c r="E182" i="9"/>
  <c r="E185" i="9" l="1"/>
  <c r="E44" i="9" l="1"/>
  <c r="E39" i="9" l="1"/>
  <c r="E42" i="9"/>
  <c r="E41" i="9"/>
  <c r="E40" i="9"/>
  <c r="E45" i="9"/>
  <c r="H34" i="9" s="1"/>
  <c r="D45" i="9"/>
  <c r="C43" i="9"/>
  <c r="D43" i="9"/>
  <c r="E43" i="9" l="1"/>
  <c r="E351" i="9"/>
  <c r="E334" i="9"/>
  <c r="E323" i="9"/>
  <c r="E127" i="9"/>
  <c r="E116" i="9"/>
  <c r="E101" i="9"/>
  <c r="E83" i="9"/>
  <c r="D70" i="9"/>
  <c r="C70" i="9"/>
  <c r="D69" i="9"/>
  <c r="C69" i="9"/>
  <c r="E462" i="9"/>
  <c r="D463" i="9"/>
  <c r="E332" i="9"/>
  <c r="E247" i="9"/>
  <c r="E246" i="9"/>
  <c r="E162" i="9"/>
  <c r="E147" i="9"/>
  <c r="E146" i="9"/>
  <c r="E78" i="9"/>
  <c r="D67" i="9"/>
  <c r="C67" i="9"/>
  <c r="D66" i="9"/>
  <c r="C66" i="9"/>
  <c r="D65" i="9"/>
  <c r="C65" i="9"/>
  <c r="D64" i="9"/>
  <c r="C64" i="9"/>
  <c r="E24" i="9"/>
  <c r="E82" i="9" l="1"/>
  <c r="E84" i="9" s="1"/>
  <c r="H82" i="9" s="1"/>
  <c r="D84" i="9"/>
  <c r="D322" i="9"/>
  <c r="E318" i="9"/>
  <c r="C322" i="9"/>
  <c r="E320" i="9"/>
  <c r="E319" i="9"/>
  <c r="E321" i="9"/>
  <c r="E324" i="9"/>
  <c r="E430" i="9"/>
  <c r="E431" i="9" s="1"/>
  <c r="H429" i="9" s="1"/>
  <c r="E79" i="9"/>
  <c r="E81" i="9" s="1"/>
  <c r="H81" i="9" s="1"/>
  <c r="E155" i="9"/>
  <c r="E335" i="9"/>
  <c r="H334" i="9" s="1"/>
  <c r="E288" i="9"/>
  <c r="E378" i="9"/>
  <c r="E156" i="9"/>
  <c r="E55" i="9"/>
  <c r="E138" i="9"/>
  <c r="E139" i="9" s="1"/>
  <c r="C463" i="9"/>
  <c r="E123" i="9"/>
  <c r="E125" i="9"/>
  <c r="E128" i="9"/>
  <c r="D126" i="9"/>
  <c r="E133" i="9"/>
  <c r="D324" i="9"/>
  <c r="E122" i="9"/>
  <c r="E124" i="9"/>
  <c r="E475" i="9"/>
  <c r="E474" i="9"/>
  <c r="E476" i="9"/>
  <c r="E144" i="9"/>
  <c r="E145" i="9"/>
  <c r="E157" i="9"/>
  <c r="E466" i="9"/>
  <c r="E467" i="9" s="1"/>
  <c r="E480" i="9"/>
  <c r="D478" i="9"/>
  <c r="C478" i="9"/>
  <c r="H83" i="9" l="1"/>
  <c r="E159" i="9"/>
  <c r="H470" i="9"/>
  <c r="E478" i="9"/>
  <c r="E482" i="9" s="1"/>
  <c r="E322" i="9"/>
  <c r="E326" i="9" s="1"/>
  <c r="E289" i="9"/>
  <c r="E126" i="9"/>
  <c r="E130" i="9" s="1"/>
  <c r="E148" i="9"/>
  <c r="G152" i="9" l="1"/>
  <c r="C467" i="9" l="1"/>
  <c r="D467" i="9"/>
  <c r="E461" i="9"/>
  <c r="E463" i="9" s="1"/>
  <c r="H469" i="9" s="1"/>
  <c r="E427" i="9"/>
  <c r="E425" i="9"/>
  <c r="E406" i="9"/>
  <c r="E388" i="9"/>
  <c r="E385" i="9"/>
  <c r="C379" i="9"/>
  <c r="E376" i="9"/>
  <c r="E364" i="9"/>
  <c r="E360" i="9"/>
  <c r="C352" i="9"/>
  <c r="E349" i="9"/>
  <c r="E346" i="9"/>
  <c r="C335" i="9"/>
  <c r="E331" i="9"/>
  <c r="E329" i="9"/>
  <c r="C324" i="9"/>
  <c r="C289" i="9"/>
  <c r="E285" i="9"/>
  <c r="C257" i="9"/>
  <c r="E255" i="9"/>
  <c r="E254" i="9"/>
  <c r="E253" i="9"/>
  <c r="E248" i="9"/>
  <c r="C240" i="9"/>
  <c r="E238" i="9"/>
  <c r="E236" i="9"/>
  <c r="C223" i="9"/>
  <c r="E219" i="9"/>
  <c r="E164" i="9"/>
  <c r="E166" i="9" s="1"/>
  <c r="C139" i="9"/>
  <c r="C128" i="9"/>
  <c r="C117" i="9"/>
  <c r="D102" i="9"/>
  <c r="E96" i="9"/>
  <c r="E35" i="9"/>
  <c r="C56" i="9"/>
  <c r="E51" i="9"/>
  <c r="E50" i="9"/>
  <c r="H169" i="9" l="1"/>
  <c r="H171" i="9" s="1"/>
  <c r="H471" i="9"/>
  <c r="E469" i="9"/>
  <c r="E25" i="9"/>
  <c r="E33" i="9"/>
  <c r="E26" i="9"/>
  <c r="E27" i="9"/>
  <c r="E34" i="9"/>
  <c r="E428" i="9"/>
  <c r="E359" i="9"/>
  <c r="D128" i="9"/>
  <c r="E286" i="9"/>
  <c r="E287" i="9" s="1"/>
  <c r="E374" i="9"/>
  <c r="E69" i="9"/>
  <c r="E358" i="9"/>
  <c r="E386" i="9"/>
  <c r="D240" i="9"/>
  <c r="D137" i="9"/>
  <c r="E366" i="9"/>
  <c r="C100" i="9"/>
  <c r="E134" i="9"/>
  <c r="E136" i="9"/>
  <c r="E299" i="9"/>
  <c r="E367" i="9"/>
  <c r="E66" i="9"/>
  <c r="D71" i="9"/>
  <c r="C71" i="9"/>
  <c r="E98" i="9"/>
  <c r="E102" i="9"/>
  <c r="E117" i="9"/>
  <c r="C368" i="9"/>
  <c r="D445" i="9"/>
  <c r="C19" i="9"/>
  <c r="D56" i="9"/>
  <c r="E65" i="9"/>
  <c r="E67" i="9"/>
  <c r="E237" i="9"/>
  <c r="E240" i="9" s="1"/>
  <c r="H247" i="9" s="1"/>
  <c r="H249" i="9" s="1"/>
  <c r="D300" i="9"/>
  <c r="D350" i="9"/>
  <c r="D368" i="9"/>
  <c r="D410" i="9"/>
  <c r="E220" i="9"/>
  <c r="C300" i="9"/>
  <c r="E298" i="9"/>
  <c r="E348" i="9"/>
  <c r="E375" i="9"/>
  <c r="D379" i="9"/>
  <c r="D408" i="9"/>
  <c r="D447" i="9"/>
  <c r="D117" i="9"/>
  <c r="E256" i="9"/>
  <c r="E257" i="9" s="1"/>
  <c r="D335" i="9"/>
  <c r="D377" i="9"/>
  <c r="D389" i="9"/>
  <c r="D431" i="9"/>
  <c r="C68" i="9"/>
  <c r="D100" i="9"/>
  <c r="D19" i="9"/>
  <c r="E56" i="9"/>
  <c r="D68" i="9"/>
  <c r="E70" i="9"/>
  <c r="E330" i="9"/>
  <c r="D352" i="9"/>
  <c r="D361" i="9"/>
  <c r="E426" i="9"/>
  <c r="C221" i="9"/>
  <c r="D250" i="9"/>
  <c r="E249" i="9"/>
  <c r="E250" i="9" s="1"/>
  <c r="D333" i="9"/>
  <c r="E347" i="9"/>
  <c r="E387" i="9"/>
  <c r="D429" i="9"/>
  <c r="E54" i="9"/>
  <c r="C445" i="9"/>
  <c r="E13" i="9"/>
  <c r="E17" i="9" s="1"/>
  <c r="E64" i="9"/>
  <c r="E97" i="9"/>
  <c r="E135" i="9"/>
  <c r="D287" i="9"/>
  <c r="E297" i="9"/>
  <c r="C377" i="9"/>
  <c r="E373" i="9"/>
  <c r="E405" i="9"/>
  <c r="C287" i="9"/>
  <c r="E32" i="9"/>
  <c r="C137" i="9"/>
  <c r="C250" i="9"/>
  <c r="E365" i="9"/>
  <c r="C389" i="9"/>
  <c r="C410" i="9"/>
  <c r="D139" i="9"/>
  <c r="D223" i="9"/>
  <c r="D242" i="9"/>
  <c r="D289" i="9"/>
  <c r="C333" i="9"/>
  <c r="C361" i="9"/>
  <c r="E357" i="9"/>
  <c r="E404" i="9"/>
  <c r="E379" i="9"/>
  <c r="H376" i="9" s="1"/>
  <c r="D221" i="9"/>
  <c r="D257" i="9"/>
  <c r="E300" i="9" l="1"/>
  <c r="H306" i="9" s="1"/>
  <c r="E137" i="9"/>
  <c r="E141" i="9" s="1"/>
  <c r="E36" i="9"/>
  <c r="E100" i="9"/>
  <c r="E104" i="9" s="1"/>
  <c r="E28" i="9"/>
  <c r="E429" i="9"/>
  <c r="H428" i="9" s="1"/>
  <c r="H430" i="9" s="1"/>
  <c r="E350" i="9"/>
  <c r="E408" i="9"/>
  <c r="E412" i="9" s="1"/>
  <c r="E368" i="9"/>
  <c r="H444" i="9"/>
  <c r="E58" i="9"/>
  <c r="E119" i="9"/>
  <c r="E389" i="9"/>
  <c r="E19" i="9"/>
  <c r="H19" i="9" s="1"/>
  <c r="E150" i="9"/>
  <c r="E361" i="9"/>
  <c r="E291" i="9"/>
  <c r="E333" i="9"/>
  <c r="H333" i="9" s="1"/>
  <c r="H335" i="9" s="1"/>
  <c r="E71" i="9"/>
  <c r="E377" i="9"/>
  <c r="E381" i="9" s="1"/>
  <c r="E68" i="9"/>
  <c r="E352" i="9"/>
  <c r="H357" i="9" s="1"/>
  <c r="E221" i="9"/>
  <c r="H221" i="9" s="1"/>
  <c r="H223" i="9" s="1"/>
  <c r="H33" i="9" l="1"/>
  <c r="H35" i="9" s="1"/>
  <c r="E47" i="9"/>
  <c r="H356" i="9"/>
  <c r="H358" i="9" s="1"/>
  <c r="H414" i="9"/>
  <c r="H416" i="9" s="1"/>
  <c r="G153" i="9"/>
  <c r="G154" i="9" s="1"/>
  <c r="E152" i="9"/>
  <c r="H18" i="9"/>
  <c r="H20" i="9" s="1"/>
  <c r="H375" i="9"/>
  <c r="H377" i="9" s="1"/>
  <c r="E21" i="9"/>
  <c r="E73" i="9"/>
  <c r="E354" i="9"/>
</calcChain>
</file>

<file path=xl/sharedStrings.xml><?xml version="1.0" encoding="utf-8"?>
<sst xmlns="http://schemas.openxmlformats.org/spreadsheetml/2006/main" count="7697" uniqueCount="1817">
  <si>
    <t>DEBIT</t>
  </si>
  <si>
    <t>CREDIT</t>
  </si>
  <si>
    <t>JOVENA</t>
  </si>
  <si>
    <t>HOLCIM</t>
  </si>
  <si>
    <t>EDM</t>
  </si>
  <si>
    <t>AITS</t>
  </si>
  <si>
    <t>TOM</t>
  </si>
  <si>
    <t>CONNECTEO</t>
  </si>
  <si>
    <t>MCB</t>
  </si>
  <si>
    <t>DHL INTERNATIONAL</t>
  </si>
  <si>
    <t>DHL GLOBAL FORWARDING</t>
  </si>
  <si>
    <t>DHL EXPRESS</t>
  </si>
  <si>
    <t>LECOFRUIT</t>
  </si>
  <si>
    <t>OIM</t>
  </si>
  <si>
    <t>OMNIVEST</t>
  </si>
  <si>
    <t>DHL PRONET</t>
  </si>
  <si>
    <t>SOLDE</t>
  </si>
  <si>
    <t>Solde Appel de fonds</t>
  </si>
  <si>
    <t>Solde Trésorerie</t>
  </si>
  <si>
    <t>Vérification</t>
  </si>
  <si>
    <t>TELMA SA</t>
  </si>
  <si>
    <t>TELMA MONEY</t>
  </si>
  <si>
    <t>EASY TECH</t>
  </si>
  <si>
    <t>FIRST IMMO</t>
  </si>
  <si>
    <t>MAD COM</t>
  </si>
  <si>
    <t>ORANGE MADAGASCAR</t>
  </si>
  <si>
    <t>ORANGE MONEY MADAGASCAR</t>
  </si>
  <si>
    <t>SANIFER = TALYS</t>
  </si>
  <si>
    <t>AOUT</t>
  </si>
  <si>
    <t>PAMF</t>
  </si>
  <si>
    <t>SOCOTA/LECO</t>
  </si>
  <si>
    <t>JBS</t>
  </si>
  <si>
    <t>SANIFER = TALYS HOSP</t>
  </si>
  <si>
    <t>GES</t>
  </si>
  <si>
    <t>WELIGHT</t>
  </si>
  <si>
    <t>AXIANSS</t>
  </si>
  <si>
    <t>MGS</t>
  </si>
  <si>
    <t>SANIFER = TALYS COVID</t>
  </si>
  <si>
    <t>SMARTONE</t>
  </si>
  <si>
    <t>OIM EXP</t>
  </si>
  <si>
    <t>DHL FORWARDING</t>
  </si>
  <si>
    <t>GROUPE TALYS</t>
  </si>
  <si>
    <t>TALYS HOSPITALISATION</t>
  </si>
  <si>
    <t>TALYS STMB</t>
  </si>
  <si>
    <t>TALYS STMB HOSP</t>
  </si>
  <si>
    <t>TALYS TAMBOHO</t>
  </si>
  <si>
    <t>TALYS TAMBOHO HOSP</t>
  </si>
  <si>
    <t>GROUPE FIRST IMMO</t>
  </si>
  <si>
    <t>OIM-EXPORT</t>
  </si>
  <si>
    <t>Cl. SOCOLAIT</t>
  </si>
  <si>
    <t>Cl. NACRE SOLUTIONS</t>
  </si>
  <si>
    <t>Cl. STAR</t>
  </si>
  <si>
    <t>TALOUMIS</t>
  </si>
  <si>
    <t>HOLCIM à encaisser</t>
  </si>
  <si>
    <t>DHL GLOBAL FORWARDING à encaisser</t>
  </si>
  <si>
    <t>PAMF à encaisser</t>
  </si>
  <si>
    <t>TELMA MONEY à encaisser</t>
  </si>
  <si>
    <t>JOVENA à encaisser</t>
  </si>
  <si>
    <t>MCB à encaisser</t>
  </si>
  <si>
    <t>EASY TECH à encaisser</t>
  </si>
  <si>
    <t>GROUPE TALYS à encaisser</t>
  </si>
  <si>
    <t>TALYS HOSPITALISATION à encaisser</t>
  </si>
  <si>
    <t>AITS à encaisser</t>
  </si>
  <si>
    <t>AXIANSS à encaisser</t>
  </si>
  <si>
    <t>CONNECTEO à encaisser</t>
  </si>
  <si>
    <t>TOM à encaisser</t>
  </si>
  <si>
    <t>EDM à encaisser</t>
  </si>
  <si>
    <t>GROUPE FIRST IMMO à encaisser</t>
  </si>
  <si>
    <t>WELIGHT à encaisser</t>
  </si>
  <si>
    <t>JBS à encaisser</t>
  </si>
  <si>
    <t>LECOFRUIT à encaisser</t>
  </si>
  <si>
    <t>OIM à encaisser</t>
  </si>
  <si>
    <t>OMNIVEST à encaisser</t>
  </si>
  <si>
    <t>OIM-EXPORT à encaisser</t>
  </si>
  <si>
    <t>SOCOLAIT à encaisser</t>
  </si>
  <si>
    <t>MAD'COM VIVETIC à encaisser</t>
  </si>
  <si>
    <t>NACRE SOLUTION à encaisser</t>
  </si>
  <si>
    <t>STAR à encaisser</t>
  </si>
  <si>
    <t>MAD'COM VIVETIC</t>
  </si>
  <si>
    <t>Cl. NACRE DIRECTION</t>
  </si>
  <si>
    <t>DIVERS</t>
  </si>
  <si>
    <t>BOA MCI</t>
  </si>
  <si>
    <t>BOA REMBOURSEMENT ORANGE</t>
  </si>
  <si>
    <t>BNI MCI TEMPORAIRE</t>
  </si>
  <si>
    <t>BOA DHL</t>
  </si>
  <si>
    <t>BNI DHL GLOBAL FORWARDING</t>
  </si>
  <si>
    <t>BOA TELMA</t>
  </si>
  <si>
    <t>BOA TELMA MONEY</t>
  </si>
  <si>
    <t>BOA JOVENA</t>
  </si>
  <si>
    <t>MCB MCB</t>
  </si>
  <si>
    <t>BOA EASY TECH</t>
  </si>
  <si>
    <t>BOA GROUPE TALYS</t>
  </si>
  <si>
    <t>BNI AITS</t>
  </si>
  <si>
    <t>BNI ASS</t>
  </si>
  <si>
    <t>BNI CONNECTEO</t>
  </si>
  <si>
    <t>BNI TOM</t>
  </si>
  <si>
    <t>BNI GROUPE FIRST IMMO</t>
  </si>
  <si>
    <t>BNI JB</t>
  </si>
  <si>
    <t>BNI LECOFRUIT</t>
  </si>
  <si>
    <t>BNI OIM</t>
  </si>
  <si>
    <t>BNI OMNIVEST</t>
  </si>
  <si>
    <t>BNI OIMEXPORT</t>
  </si>
  <si>
    <t>BNI SOCOLAIT</t>
  </si>
  <si>
    <t>BNI MAD'COM VIVETIC</t>
  </si>
  <si>
    <t>BOA ORANGE MADAGASCAR</t>
  </si>
  <si>
    <t>BNI STAR</t>
  </si>
  <si>
    <t>BNI TALOUMIS</t>
  </si>
  <si>
    <t>M-VOLA, MCI</t>
  </si>
  <si>
    <t>M-VOLA, TELMA</t>
  </si>
  <si>
    <t>ORANGE MONEY, ORANGE</t>
  </si>
  <si>
    <t>Totaux comptes de bilan</t>
  </si>
  <si>
    <t>Totaux comptes de gestion</t>
  </si>
  <si>
    <t>Totaux de la balance</t>
  </si>
  <si>
    <t>NACRE</t>
  </si>
  <si>
    <t>STAR</t>
  </si>
  <si>
    <t>NACRE DIR</t>
  </si>
  <si>
    <t>SOCOLAIT</t>
  </si>
  <si>
    <t>TAMBOHO</t>
  </si>
  <si>
    <t>TAMBOHO HOSP</t>
  </si>
  <si>
    <t>STMB</t>
  </si>
  <si>
    <t>STMB HOSP</t>
  </si>
  <si>
    <t>KIDS ACADEMY</t>
  </si>
  <si>
    <t>KIDS AKADEMY</t>
  </si>
  <si>
    <t>FSS à encaisser</t>
  </si>
  <si>
    <t>FSS</t>
  </si>
  <si>
    <t>Crédit</t>
  </si>
  <si>
    <t>Intitulé des comptes</t>
  </si>
  <si>
    <t>Date de tirage</t>
  </si>
  <si>
    <t>Complète</t>
  </si>
  <si>
    <t>Balance des comptes</t>
  </si>
  <si>
    <t>MCI CARE MADAGASCAR</t>
  </si>
  <si>
    <t>BOA HOLCIM/CEMENTIS</t>
  </si>
  <si>
    <t>BNI MGS/FSS</t>
  </si>
  <si>
    <t>BNI EDM/NEA</t>
  </si>
  <si>
    <t>BNI NACRE /KIDS</t>
  </si>
  <si>
    <t>M-VOLA, SANLAM/ALLIANZ</t>
  </si>
  <si>
    <t>Charge contatée d'avance</t>
  </si>
  <si>
    <t>JBU à encaisser</t>
  </si>
  <si>
    <t>JBU</t>
  </si>
  <si>
    <t>BOOST</t>
  </si>
  <si>
    <t>BOOST à encaisser</t>
  </si>
  <si>
    <t>MADAGASCO à encaisser</t>
  </si>
  <si>
    <t>SANLAM</t>
  </si>
  <si>
    <t>TANJAKA FOOD</t>
  </si>
  <si>
    <t>ALLIANZ/SANLAM</t>
  </si>
  <si>
    <t>MADAGASCO</t>
  </si>
  <si>
    <t>BNI SANLAM</t>
  </si>
  <si>
    <t>BNI ALLIANZ</t>
  </si>
  <si>
    <t>Compte d'attente</t>
  </si>
  <si>
    <t>© Sage - Sage 100cloud Comptabilité Standard 6.01</t>
  </si>
  <si>
    <t>Logiciels informatiques et assimilé</t>
  </si>
  <si>
    <t>Matériel informatique</t>
  </si>
  <si>
    <t>Prestataire</t>
  </si>
  <si>
    <t>Fournisseur MCI Care</t>
  </si>
  <si>
    <t>HOLCIM/CEMENTIS</t>
  </si>
  <si>
    <t>ERNST &amp; YOUNG</t>
  </si>
  <si>
    <t>INTELCIA MADAGASCAR</t>
  </si>
  <si>
    <t>EDM/NEA</t>
  </si>
  <si>
    <t>MADCOM</t>
  </si>
  <si>
    <t>Personnel, Rémunération dûe</t>
  </si>
  <si>
    <t>Avances au personnel mensuel</t>
  </si>
  <si>
    <t>CNAPS</t>
  </si>
  <si>
    <t>CNAPS, Allocation familiale</t>
  </si>
  <si>
    <t>FMFP</t>
  </si>
  <si>
    <t>Etat, IRI Fournisseur LOCAL</t>
  </si>
  <si>
    <t>Etat, TVA à payer</t>
  </si>
  <si>
    <t>Etat, TVA déductible sur biens et s</t>
  </si>
  <si>
    <t>Etat, TVA déductible sur Immo</t>
  </si>
  <si>
    <t>Etat, TVA collectée</t>
  </si>
  <si>
    <t>Etat,TVA sur IRI</t>
  </si>
  <si>
    <t>Etat, IRSA</t>
  </si>
  <si>
    <t>Caisse</t>
  </si>
  <si>
    <t>Virement de fonds interne</t>
  </si>
  <si>
    <t>Virement Appro caisse</t>
  </si>
  <si>
    <t>Fournitures informatiques</t>
  </si>
  <si>
    <t>Imprimés et fournitures de bureau</t>
  </si>
  <si>
    <t>Carburant</t>
  </si>
  <si>
    <t>Location SERVEUR</t>
  </si>
  <si>
    <t>Primes d'assurance santé</t>
  </si>
  <si>
    <t>Personnel extérieur</t>
  </si>
  <si>
    <t>Réception</t>
  </si>
  <si>
    <t>Abonnement TELMA</t>
  </si>
  <si>
    <t>Abonnement AIRTEL</t>
  </si>
  <si>
    <t>Frais postaux-rapide</t>
  </si>
  <si>
    <t>Service bancaires et assimilés</t>
  </si>
  <si>
    <t>Autres impôts et taxes</t>
  </si>
  <si>
    <t>Autre Charge de Gestion</t>
  </si>
  <si>
    <t>Prestation de service</t>
  </si>
  <si>
    <t>ALLIANZ</t>
  </si>
  <si>
    <t>FOUNDEVER</t>
  </si>
  <si>
    <t>FOUNDEVER à encaisser</t>
  </si>
  <si>
    <t>BNI SMARTONE /FOUNDEVER</t>
  </si>
  <si>
    <t>Page :</t>
  </si>
  <si>
    <t>Soldes</t>
  </si>
  <si>
    <t>EVIOSYS</t>
  </si>
  <si>
    <t>EVIOSYS à encaisser</t>
  </si>
  <si>
    <t>BOA EVIOSYS</t>
  </si>
  <si>
    <t>Rémunérations d'intermédiares et ho</t>
  </si>
  <si>
    <t>Période du</t>
  </si>
  <si>
    <t>au</t>
  </si>
  <si>
    <t>Tenue de compte : MGA</t>
  </si>
  <si>
    <t>à</t>
  </si>
  <si>
    <t>Numéro
de
compte</t>
  </si>
  <si>
    <t>Mouvements</t>
  </si>
  <si>
    <t>Débit</t>
  </si>
  <si>
    <t>INGEDATA à encaisser</t>
  </si>
  <si>
    <t>INGEDATA</t>
  </si>
  <si>
    <t>SANLAMALLIANZ</t>
  </si>
  <si>
    <t>STELLARIX</t>
  </si>
  <si>
    <t>SANKO</t>
  </si>
  <si>
    <t>AXIAN UNIVERSITY</t>
  </si>
  <si>
    <t>CAMUSAT</t>
  </si>
  <si>
    <t>SANLAMALLIANZ à encaisser</t>
  </si>
  <si>
    <t>DHL INTERNATIONAL à encaisser</t>
  </si>
  <si>
    <t>ATSS à encaisser</t>
  </si>
  <si>
    <t>SANKO à encaisser</t>
  </si>
  <si>
    <t>AXIAN UNIVERSITY à encaisser</t>
  </si>
  <si>
    <t>CAMUSAT à encaisser</t>
  </si>
  <si>
    <t>EXSANLAMALLIANZ</t>
  </si>
  <si>
    <t>ATSS</t>
  </si>
  <si>
    <t>FONDATION AXIAN</t>
  </si>
  <si>
    <t>SANLAMALLIANZ AUTOFI</t>
  </si>
  <si>
    <t>SANLAMALLIANZ COMPAGNIE</t>
  </si>
  <si>
    <t>Autre Produit de Gestion</t>
  </si>
  <si>
    <t>EXSANLAMALLIANZ à encaisser</t>
  </si>
  <si>
    <t>EVASAN</t>
  </si>
  <si>
    <t>Entretien, réparation, maintenance</t>
  </si>
  <si>
    <t>Salaire et appointement</t>
  </si>
  <si>
    <t>Charge patronale, CNAPS</t>
  </si>
  <si>
    <t>Charge patronale, ESIA</t>
  </si>
  <si>
    <t>Charge patronale, FMFP</t>
  </si>
  <si>
    <t>Autre charge de personnel, retraite</t>
  </si>
  <si>
    <t>Redevances pour concessions, brevet</t>
  </si>
  <si>
    <t>P</t>
  </si>
  <si>
    <t>Code journal</t>
  </si>
  <si>
    <t>Date</t>
  </si>
  <si>
    <t>N° pièce</t>
  </si>
  <si>
    <t>Référence</t>
  </si>
  <si>
    <t>N° facture</t>
  </si>
  <si>
    <t>N° compte tiers</t>
  </si>
  <si>
    <t>Libellé écriture</t>
  </si>
  <si>
    <t>Date échéance</t>
  </si>
  <si>
    <t>Lettrage montant</t>
  </si>
  <si>
    <t>Pointage</t>
  </si>
  <si>
    <t>RAN</t>
  </si>
  <si>
    <t>CLTDHLEXPRESS</t>
  </si>
  <si>
    <t>A.N. au 010123</t>
  </si>
  <si>
    <t>FONDHLEXPRESS</t>
  </si>
  <si>
    <t>OD</t>
  </si>
  <si>
    <t>COMPENSATION FOND-HONORAIRE-REG-2024-11-FA-DHL EXPRESS</t>
  </si>
  <si>
    <t>TIERS</t>
  </si>
  <si>
    <t>24325/357091</t>
  </si>
  <si>
    <t>DHL EXPRESS DECEMBRE 2024- PHARMACIE PRINCIPALE- REG 24325/357091</t>
  </si>
  <si>
    <t>LOT24899/363018</t>
  </si>
  <si>
    <t>DHL EXPRESS DECEMBRE 2024- PHARMACIE PRINCIPALE- REG LOT24899/363018</t>
  </si>
  <si>
    <t>LOT24548/358721</t>
  </si>
  <si>
    <t>DHL EXPRESS DECEMBRE 2024- PHARMACIE PRINCIPALE- REG LOT24548/358721</t>
  </si>
  <si>
    <t>DHL EXPRESS DECEMBRE 2024- RAZAFIMANANTSOA TIANA NIRINA- RMBT 21739</t>
  </si>
  <si>
    <t>DHL EXPRESS DECEMBRE 2024- RANAIVO IONIMALALA- RMBT 21740</t>
  </si>
  <si>
    <t>DHL EXPRESS DECEMBRE 2024- LUXOPTICA- REG 344896</t>
  </si>
  <si>
    <t>24/3715</t>
  </si>
  <si>
    <t>DHL EXPRESS DECEMBRE 2024- CLINIQUE NOA- REG 24/3715</t>
  </si>
  <si>
    <t>DHL EXPRESS DECEMBRE 2024- PHARMACIE DU ROI- REG 251256</t>
  </si>
  <si>
    <t>FGC/000234/2024</t>
  </si>
  <si>
    <t>DHL EXPRESS DECEMBRE 2024- PHARMACIE D'ANKADINDRATOMBO- REG FGC/00023</t>
  </si>
  <si>
    <t>1906/24Y</t>
  </si>
  <si>
    <t>DHL EXPRESS DECEMBRE 2024- PHARMACIE TSARASANDRY- REG 1906/24Y</t>
  </si>
  <si>
    <t>2024/179</t>
  </si>
  <si>
    <t>DHL EXPRESS DECEMBRE 2024- SP VISION- REG 2024/179</t>
  </si>
  <si>
    <t>15761/278774</t>
  </si>
  <si>
    <t>DHL EXPRESS DECEMBRE 2024- PHARMACIE MANDROSOA- REG 15761/278774</t>
  </si>
  <si>
    <t>DHL EXPRESS DECEMBRE 2024- CENTRE MEDICAL AMBATOMENA- REG 202404005</t>
  </si>
  <si>
    <t>FAC 11052024</t>
  </si>
  <si>
    <t xml:space="preserve">DHL EXPRESS DECEMBRE 2024- DR MIRAFINARITRA RAFIDIARIMANANA- REG FAC </t>
  </si>
  <si>
    <t>1712/ALH/2024</t>
  </si>
  <si>
    <t>DHL EXPRESS DECEMBRE 2024- POLYCLINIQUE ILAFY- REG 1712/ALH/2024</t>
  </si>
  <si>
    <t>DHL EXPRESS DECEMBRE 2024- CENTRE MEDICAL COLISEUM- REG 0124</t>
  </si>
  <si>
    <t>DHL EXPRESS DECEMBRE 2024- CABINET NOOR (OPHTALMO)- REG 41130</t>
  </si>
  <si>
    <t>FAC 21052024</t>
  </si>
  <si>
    <t>DHL EXPRESS DECEMBRE 2024- EYE CARE (OPHTALMO)- REG FAC 21052024</t>
  </si>
  <si>
    <t>1501/24/Y</t>
  </si>
  <si>
    <t>DHL EXPRESS DECEMBRE 2024- PHARMACIE TSARASANDRY- REG 1501/24/Y</t>
  </si>
  <si>
    <t>DC 060824</t>
  </si>
  <si>
    <t>DHL EXPRESS DECEMBRE 2024- PHARMACIE AMBOHIDRATRIMO- REG DC 060824</t>
  </si>
  <si>
    <t>DHL EXPRESS DECEMBRE 2024- LUXOPTICA- REG 343404</t>
  </si>
  <si>
    <t>24E02583</t>
  </si>
  <si>
    <t>DHL EXPRESS DECEMBRE 2024- HEALTH LABO- REG 24E02583</t>
  </si>
  <si>
    <t>01/DHL 2024</t>
  </si>
  <si>
    <t>DHL EXPRESS DECEMBRE 2024- ESPACE MEDICAL ANTSIRABE- REG 01/DHL 2024</t>
  </si>
  <si>
    <t>111490/PH/AV/2024</t>
  </si>
  <si>
    <t>DHL EXPRESS DECEMBRE 2024- PHARMACIE D'AVARADRANO- REG 111490/PH/AV/2</t>
  </si>
  <si>
    <t>07-2023/CSL</t>
  </si>
  <si>
    <t>DHL EXPRESS DECEMBRE 2024- IMAGERIE DE LA CLINIQUE SAINT LAURENT - RE</t>
  </si>
  <si>
    <t>VP-1051592</t>
  </si>
  <si>
    <t>DHL EXPRESS DECEMBRE 2024- PHARMACIE GRACE- REG VP-1051592</t>
  </si>
  <si>
    <t>0924/003</t>
  </si>
  <si>
    <t>DHL EXPRESS DECEMBRE 2024- CENTRE MEDICAL COLISEUM- REG 0924/003</t>
  </si>
  <si>
    <t>FAC 26102024</t>
  </si>
  <si>
    <t>DHL EXPRESS DECEMBRE 2024- ZOOM OPTIQUE (OPHTALMO)- REG FAC 26102024</t>
  </si>
  <si>
    <t>DHL EXPRESS DECEMBRE 2024- ZOOM OPTIQUE- REG 17517</t>
  </si>
  <si>
    <t>IS 20 241 213</t>
  </si>
  <si>
    <t>DHL EXPRESS DECEMBRE 2024- CLINIQUE ET MATERNITE SAINT FRANCOIS D'ASS</t>
  </si>
  <si>
    <t>FAC 02102024</t>
  </si>
  <si>
    <t>DHL EXPRESS DECEMBRE 2024- SAINT JOSEPH MEDICAL SERVICES- REG FAC 021</t>
  </si>
  <si>
    <t>15838/279257</t>
  </si>
  <si>
    <t>DHL EXPRESS DECEMBRE 2024- PHARMACIE MANDROSOA- REG 15838/279257</t>
  </si>
  <si>
    <t>24/64067</t>
  </si>
  <si>
    <t>DHL EXPRESS DECEMBRE 2024- CLINIQUE NOA- REG 24/64067</t>
  </si>
  <si>
    <t>FAC/126021/2024</t>
  </si>
  <si>
    <t>DHL EXPRESS DECEMBRE 2024- PHARMACIE D'ANKADINDRATOMBO- REG FAC/12602</t>
  </si>
  <si>
    <t>FAC 12122024</t>
  </si>
  <si>
    <t>DHL EXPRESS DECEMBRE 2024- EYE CARE (OPHTALMO)- REG FAC 12122024</t>
  </si>
  <si>
    <t>FS 374965</t>
  </si>
  <si>
    <t>DHL EXPRESS DECEMBRE 2024- MARIE STOPES MADAGASCAR TANA- REG FS 37496</t>
  </si>
  <si>
    <t>DHL EXPRESS DECEMBRE 2024- MADAME RAMEFISON ANJA - PAV 80- REG 2093</t>
  </si>
  <si>
    <t>12/24/010</t>
  </si>
  <si>
    <t>DHL EXPRESS DECEMBRE 2024- VEL'OPTIC- REG 12/24/010</t>
  </si>
  <si>
    <t>12/24/022</t>
  </si>
  <si>
    <t>DHL EXPRESS DECEMBRE 2024- OPTICITY- REG 12/24/022</t>
  </si>
  <si>
    <t>2024/0269-P-TOA</t>
  </si>
  <si>
    <t>DHL EXPRESS DECEMBRE 2024- 5 SENSES TOAMASINA- REG 2024/0269-P-TOA</t>
  </si>
  <si>
    <t>DHL EXPRESS DECEMBRE 2024- LUXOPTICA- REG 344172</t>
  </si>
  <si>
    <t>DHL EXPRESS DECEMBRE 2024- ZOOM OPTIQUE- REG 17555</t>
  </si>
  <si>
    <t>24123/24</t>
  </si>
  <si>
    <t>DHL EXPRESS DECEMBRE 2024- LE LUNETIER- REG 24123/24</t>
  </si>
  <si>
    <t>MDR/OP/73965</t>
  </si>
  <si>
    <t>DHL EXPRESS DECEMBRE 2024- CENTRE DE SANTE DR AGARWAL'S (OPHTALMO)- R</t>
  </si>
  <si>
    <t>007/NOV/VO</t>
  </si>
  <si>
    <t>DHL EXPRESS DECEMBRE 2024- VEL'OPTIC (OPHTALMO)- REG 007/NOV/VO</t>
  </si>
  <si>
    <t>019/NOV/VV</t>
  </si>
  <si>
    <t>DHL EXPRESS DECEMBRE 2024- VEL'VISION (OPHTALMO)- REG 019/NOV/VV</t>
  </si>
  <si>
    <t>AA24-01695/F</t>
  </si>
  <si>
    <t>DHL EXPRESS DECEMBRE 2024- INSTITUT PASTEUR DE MADAGASCAR- REG AA24-0</t>
  </si>
  <si>
    <t>FAC 31072024</t>
  </si>
  <si>
    <t>DHL EXPRESS DECEMBRE 2024- MATERNITE DU CENTRE REFERENCE MEDICAL- REG</t>
  </si>
  <si>
    <t>FAC/143659/2024</t>
  </si>
  <si>
    <t>DHL EXPRESS DECEMBRE 2024- PHARMACIE D'ANKADINDRATOMBO- REG FAC/14365</t>
  </si>
  <si>
    <t>BOADHL</t>
  </si>
  <si>
    <t>CK BOA N° 00013102 du 28/01/2025-DHL EXPRESS-COTISATION 4EM TRIM 2024</t>
  </si>
  <si>
    <t>Frais de Tenue de Compte Mois de JANVIER 2025</t>
  </si>
  <si>
    <t>Commission de Mouvements Mois de JANVIER 2025</t>
  </si>
  <si>
    <t>FRAIS DHL DC 231224 291224 301224</t>
  </si>
  <si>
    <t>FRAIS DHL DC 031224 131224 161224 231224 261224 311224</t>
  </si>
  <si>
    <t>004/AOUT/VV/2024/</t>
  </si>
  <si>
    <t>DHL EXPRESS DECEMBRE 2024- VEL'VISION (OPHTALMO)- REG 004/AOUT/VV/202</t>
  </si>
  <si>
    <t>FAC112007/1/PH/AV</t>
  </si>
  <si>
    <t>DHL EXPRESS DECEMBRE 2024- PHARMACIE D'AVARADRANO- REG FAC112007/1/PH</t>
  </si>
  <si>
    <t>FAC/170572/2024</t>
  </si>
  <si>
    <t>DHL EXPRESS DECEMBRE 2024- PHARMACIE D'ANKADINDRATOMBO- REG FAC/17057</t>
  </si>
  <si>
    <t>FC413032</t>
  </si>
  <si>
    <t>DHL EXPRESS DECEMBRE 2024- PHARMACIE METROPOLE- REG FC413032</t>
  </si>
  <si>
    <t>FAC17/12/24</t>
  </si>
  <si>
    <t>DHL EXPRESS DECEMBRE 2024- PHARMACIE D'AMBOHIDRATRIMO- REG FAC17/12/2</t>
  </si>
  <si>
    <t>VP-1069917</t>
  </si>
  <si>
    <t>DHL EXPRESS DECEMBRE 2024- PHARMACIE GRACE- REG VP-1069917</t>
  </si>
  <si>
    <t>FAC001576</t>
  </si>
  <si>
    <t>DHL EXPRESS DECEMBRE 2024- PHARMACIE D'IVATO- REG FAC001576</t>
  </si>
  <si>
    <t>FAC252916</t>
  </si>
  <si>
    <t>DHL EXPRESS DECEMBRE 2024- PHARMACIE DU ROI- REG FAC252916</t>
  </si>
  <si>
    <t>FAC1688/24Y</t>
  </si>
  <si>
    <t>DHL EXPRESS DECEMBRE 2024- PHARMACIE TSARASANDRY- REG FAC1688/24Y</t>
  </si>
  <si>
    <t>FAC359705</t>
  </si>
  <si>
    <t>DHL EXPRESS DECEMBRE 2024- PHARMACIE PRINCIPALE- REG FAC359705</t>
  </si>
  <si>
    <t>FAC/077724/2024</t>
  </si>
  <si>
    <t>DHL EXPRESS DECEMBRE 2024- PHARMACIE NY ANTSIKA- REG FAC/077724/2024</t>
  </si>
  <si>
    <t>DHL EXPRESS JANVIER 2025- RAZAFIMAMONJY MIRANA- RMBT 21900</t>
  </si>
  <si>
    <t>FAC06012025</t>
  </si>
  <si>
    <t>DHL EXPRESS JANVIER 2025- CENTRE DE SANTE BE NY SOA- REG FAC06012025</t>
  </si>
  <si>
    <t>0125/001</t>
  </si>
  <si>
    <t>DHL EXPRESS JANVIER 2025- CENTRE MEDICAL COLISEUM- REG 0125/001</t>
  </si>
  <si>
    <t>24/7589</t>
  </si>
  <si>
    <t>DHL EXPRESS JANVIER 2025- CLINIQUE NOA- REG 24/7589</t>
  </si>
  <si>
    <t>FAC07012025</t>
  </si>
  <si>
    <t>DHL EXPRESS JANVIER 2025- EYE CARE (OPHTALMO)- REG FAC07012025</t>
  </si>
  <si>
    <t>MDR/OP/77263</t>
  </si>
  <si>
    <t>DHL EXPRESS JANVIER 2025- CENTRE DE SANTE DR AGARWAL'S - REG MDR/OP/7</t>
  </si>
  <si>
    <t>FAC24-50603</t>
  </si>
  <si>
    <t>DHL EXPRESS JANVIER 2025- IMAGERIE INSTITUT MEDICAL DE MADAG- REG FAC</t>
  </si>
  <si>
    <t>AA24-01784/F</t>
  </si>
  <si>
    <t>DHL EXPRESS JANVIER 2025- INSTITUT PASTEUR DE MADAGASCAR- REG AA24-01</t>
  </si>
  <si>
    <t>FAC06112024</t>
  </si>
  <si>
    <t xml:space="preserve">DHL EXPRESS JANVIER 2025- MATERNITE DU CENTRE REFERENCE MEDICAL- REG </t>
  </si>
  <si>
    <t>FACT/027270</t>
  </si>
  <si>
    <t>DHL EXPRESS JANVIER 2025- ORL AUDIOLOGY CLINIC AMBOHIBAO- REG FACT/02</t>
  </si>
  <si>
    <t>DHL EXPRESS JANVIER 2025- PHARMACIE COLISEUM- REG 2836</t>
  </si>
  <si>
    <t>FAC/030766/2024</t>
  </si>
  <si>
    <t>DHL EXPRESS JANVIER 2025- PHARMACIE CROIX DU SUD- REG FAC/030766/2024</t>
  </si>
  <si>
    <t>112870/PH/AV/2024</t>
  </si>
  <si>
    <t>DHL EXPRESS JANVIER 2025- PHARMACIE D'AVARADRANO- REG 112870/PH/AV/20</t>
  </si>
  <si>
    <t>DHL EXPRESS JANVIER 2025- PHARMACIE D'IVATO- REG 001778</t>
  </si>
  <si>
    <t>VP-1079347</t>
  </si>
  <si>
    <t>DHL EXPRESS JANVIER 2025- PHARMACIE GRACE- REG VP-1079347</t>
  </si>
  <si>
    <t>LOT5877/279510</t>
  </si>
  <si>
    <t>DHL EXPRESS JANVIER 2025- PHARMACIE MANDROSOA- REG LOT5877/279510</t>
  </si>
  <si>
    <t>LOT24931/363268</t>
  </si>
  <si>
    <t>DHL EXPRESS JANVIER 2025- PHARMACIE PRINCIPALE- REG LOT24931/363268</t>
  </si>
  <si>
    <t>000020/24Y</t>
  </si>
  <si>
    <t>DHL EXPRESS JANVIER 2025- PHARMACIE TOKY- REG 000020/24Y</t>
  </si>
  <si>
    <t>FAC14062024</t>
  </si>
  <si>
    <t>DHL EXPRESS JANVIER 2025- SAINT JOSEPH MEDICAL SERVICES- REG FAC14062</t>
  </si>
  <si>
    <t>12/24/095</t>
  </si>
  <si>
    <t>DHL EXPRESS JANVIER 2025- VEL'OPTIC- REG 12/24/095</t>
  </si>
  <si>
    <t>004/JANVIER/VV/20</t>
  </si>
  <si>
    <t>DHL EXPRESS JANVIER 2025- VEL'VISION (OPHTALMO)- REG 004/JANVIER/VV/2</t>
  </si>
  <si>
    <t>DHL EXPRESS FEVRIER 2025- RAKOTONANAHARY EDMOND HERVÃ‰- RMBT 22073</t>
  </si>
  <si>
    <t>DHL EXPRESS FEVRIER 2025- RAKOTONANAHARY EDMOND HERVÃ‰- RMBT 22024</t>
  </si>
  <si>
    <t>DHL EXPRESS FEVRIER 2025- RASAMOELINIAINA LINDA FAMENONTSOA- RMBT 223</t>
  </si>
  <si>
    <t>MVOMCI</t>
  </si>
  <si>
    <t>Frais DHL EXPRESS FEVRIER 2025- RASAMOELINIAINA LINDA FAMENONTSOA- RM</t>
  </si>
  <si>
    <t>Frais de Tenue de Compte Mois de FEVRIER 2025</t>
  </si>
  <si>
    <t>Commission de Mouvements Mois de FEVRIER 2025</t>
  </si>
  <si>
    <t>FRAIS DHL DC 211224 311224</t>
  </si>
  <si>
    <t>Frais DHL EXPRESS JANVIER 2025- RAZAFIMAMONJY MIRANA- RMBT 21900</t>
  </si>
  <si>
    <t>FRAIS DHL DC 310125</t>
  </si>
  <si>
    <t>Frais DHL EXPRESS FEVRIER 2025- RAKOTONANAHARY EDMOND HERVÃ‰- RMBT 22</t>
  </si>
  <si>
    <t>MDR/OP/79140</t>
  </si>
  <si>
    <t>DHL EXPRESS FEVRIER 2025- CENTRE DE SANTE DR AGARWAL'S (OPHTALMO)- RE</t>
  </si>
  <si>
    <t>25/0665</t>
  </si>
  <si>
    <t>DHL EXPRESS FEVRIER 2025- CLINIQUE NOA- REG 25/0665</t>
  </si>
  <si>
    <t>AA25-00074/F</t>
  </si>
  <si>
    <t>DHL EXPRESS FEVRIER 2025- INSTITUT PASTEUR DE MADAGASCAR- REG AA25-00</t>
  </si>
  <si>
    <t>DHL EXPRESS FEVRIER 2025- LUXOPTICA- REG 349027</t>
  </si>
  <si>
    <t>DHL EXPRESS FEVRIER 2025- MARIE STOPES MADAGASCAR TANA- REG 382178</t>
  </si>
  <si>
    <t>01/25/125</t>
  </si>
  <si>
    <t>DHL EXPRESS FEVRIER 2025- OPTICITY- REG 01/25/125</t>
  </si>
  <si>
    <t>LOT/15183/3086</t>
  </si>
  <si>
    <t>DHL EXPRESS FEVRIER 2025- PHARMACIE COLISEUM- REG LOT/15183/3086</t>
  </si>
  <si>
    <t>FAC/135191/2024</t>
  </si>
  <si>
    <t>DHL EXPRESS FEVRIER 2025- PHARMACIE D'AMBOHIBAO- REG FAC/135191/2024</t>
  </si>
  <si>
    <t>FAC/000131/2025</t>
  </si>
  <si>
    <t>DHL EXPRESS FEVRIER 2025- PHARMACIE D'ANKADINDRATOMBO- REG FAC/000131</t>
  </si>
  <si>
    <t>112869/PH/AV/2024</t>
  </si>
  <si>
    <t>DHL EXPRESS FEVRIER 2025- PHARMACIE D'AVARADRANO- REG 112869/PH/AV/20</t>
  </si>
  <si>
    <t>FC020748</t>
  </si>
  <si>
    <t>DHL EXPRESS FEVRIER 2025- PHARMACIE DE LA DIGUE- REG FC020748</t>
  </si>
  <si>
    <t>VP-1085857</t>
  </si>
  <si>
    <t>DHL EXPRESS FEVRIER 2025- PHARMACIE GRACE- REG VP-1085857</t>
  </si>
  <si>
    <t>FC421890</t>
  </si>
  <si>
    <t>DHL EXPRESS FEVRIER 2025- PHARMACIE METROPOLE- REG FC421890</t>
  </si>
  <si>
    <t>249/25Y</t>
  </si>
  <si>
    <t>DHL EXPRESS FEVRIER 2025- PHARMACIE TSARASANDRY- REG 249/25Y</t>
  </si>
  <si>
    <t>18 DEC 2024</t>
  </si>
  <si>
    <t>DHL EXPRESS FEVRIER 2025- SAINT JOSEPH MEDICAL SERVICES- REG 18 DEC 2</t>
  </si>
  <si>
    <t>010/JANV/VO/AMBOD</t>
  </si>
  <si>
    <t>DHL EXPRESS FEVRIER 2025- VEL'OPTIC (OPHTALMO)- REG 010/JANV/VO/AMBOD</t>
  </si>
  <si>
    <t>024/JANVIER/VV/20</t>
  </si>
  <si>
    <t>DHL EXPRESS FEVRIER 2025- VEL'VISION (OPHTALMO)- REG 024/JANVIER/VV/2</t>
  </si>
  <si>
    <t>DHL EXPRESS FEVRIER 2025- RAKOTOMANGA PAMELA- RMBT 22622</t>
  </si>
  <si>
    <t>2025-AP-1TRIM-DHL</t>
  </si>
  <si>
    <t>2025-AP-1TRIM-DHL EXPRESS</t>
  </si>
  <si>
    <t>DHL EXPRESS MARS 2025- LEUNG CHI YUEN MYRIA- RMBT 22593</t>
  </si>
  <si>
    <t>Frais DHL EXPRESS MARS 2025- LEUNG CHI YUEN MYRIA- RMBT 22593</t>
  </si>
  <si>
    <t>Commission de Mouvements Mois de MARS 2025</t>
  </si>
  <si>
    <t>Frais de Tenue de Compte Mois de MARS 2025</t>
  </si>
  <si>
    <t>FRAIS DHL DC 280225</t>
  </si>
  <si>
    <t>Frais DHL EXPRESS FEVRIER 2025- RAKOTOMANGA PAMELA- RMBT 22622</t>
  </si>
  <si>
    <t>112144/PH/AV/2025</t>
  </si>
  <si>
    <t>DHL EXPRESS MARS 2025- PHARMACIE D'AVARADRANO- REG 112144/PH/AV/2025</t>
  </si>
  <si>
    <t>25156/364056</t>
  </si>
  <si>
    <t>DHL EXPRESS AVRIL 2025- PHARMACIE PRINCIPALE- REG 25156/364056</t>
  </si>
  <si>
    <t>15927/279912</t>
  </si>
  <si>
    <t>DHL EXPRESS AVRIL 2025- PHARMACIE MANDROSOA- REG 15927/279912</t>
  </si>
  <si>
    <t>DHL EXPRESS AVRIL 2025- PHARMACIE HANITRA- REG 250143</t>
  </si>
  <si>
    <t>2025-AP-2TRIM DHL</t>
  </si>
  <si>
    <t>LETTRAGE-2025-AP-2TRIM DHL EXPRESS</t>
  </si>
  <si>
    <t>216/24MJN</t>
  </si>
  <si>
    <t>DHL EXPRESS AVRIL 2025- ESPACE MEDICAL MAHAJANGA- REG 216/24MJN</t>
  </si>
  <si>
    <t>CIS 20 240 549</t>
  </si>
  <si>
    <t>DHL EXPRESS AVRIL 2025- POLYCLINIQUE SAINT FRANCOIS D'ASSISE- REG CIS</t>
  </si>
  <si>
    <t>CK N° 00013105 du 25/04/2025-COTISATION ESIA DHL EXPRESS 1E TRIM 2025</t>
  </si>
  <si>
    <t>Commission de Mouvements Mois d'AVRIL 2025</t>
  </si>
  <si>
    <t>Frais de Tenue de Compte Mois d'AVRIL 2025</t>
  </si>
  <si>
    <t>FRAIS DHL EXPRESS DC DHL 310325 300425</t>
  </si>
  <si>
    <t>DHL EXPRESS MAI 2025- RAMIADAMANANA LANTONAINA- RMBT 23381</t>
  </si>
  <si>
    <t>DHL EXPRESS MAI 2025- RASOAMIARAMANANA HARRY ANDRIANIAINA LANGUITA- R</t>
  </si>
  <si>
    <t>FAC/079626/2024</t>
  </si>
  <si>
    <t>DHL EXPRESS AVRIL 2025- PHARMACIE DES 67HA- REG FAC/079626/2024</t>
  </si>
  <si>
    <t>LOT15936.280045</t>
  </si>
  <si>
    <t>DHL EXPRESS AVRIL 2025- PHARMACIE MANDROSOA- REG LOT15936.280045</t>
  </si>
  <si>
    <t>DHL EXPRESS AVRIL 2025- MATERNITE DU CENTRE REFERENCE MEDICAL- REG 56</t>
  </si>
  <si>
    <t>DHL EXPRESS AVRIL 2025- DR RAKOTOHARINIVO HERY ZO M- REG 000554</t>
  </si>
  <si>
    <t>2037/24Y</t>
  </si>
  <si>
    <t>DHL EXPRESS AVRIL 2025- PHARMACIE TSARASANDRY- REG 2037/24Y</t>
  </si>
  <si>
    <t>FAC/015823/2025</t>
  </si>
  <si>
    <t>DHL EXPRESS AVRIL 2025- PHARMACIE D'ANKADINDRATOMBO- REG FAC/015823/2</t>
  </si>
  <si>
    <t>FGC/000236/2025</t>
  </si>
  <si>
    <t>DHL EXPRESS AVRIL 2025- PHARMACIE SOA TOAMASINA- REG FGC/000236/2025</t>
  </si>
  <si>
    <t>25037/25</t>
  </si>
  <si>
    <t>DHL EXPRESS AVRIL 2025- LE LUNETIER- REG 25037/25</t>
  </si>
  <si>
    <t>DHL EXPRESS AVRIL 2025- DR TATAMO LANTOTIANA RAKOTONDRASOA- REG 423</t>
  </si>
  <si>
    <t>DHL EXPRESS AVRIL 2025- PHARMACIE HANITRA- REG 250295</t>
  </si>
  <si>
    <t>DHL EXPRESS AVRIL 2025- CENTRE MEDICAL COLISEUM- REG 0125/001</t>
  </si>
  <si>
    <t>01/DHL/02-2025/CS</t>
  </si>
  <si>
    <t>DHL EXPRESS AVRIL 2025- CLINIQUE SAINT LAURENT- REG 01/DHL/02-2025/CS</t>
  </si>
  <si>
    <t>013/JANVIER/VV/20</t>
  </si>
  <si>
    <t>DHL EXPRESS AVRIL 2025- VEL'VISION (OPHTALMO)- REG 013/JANVIER/VV/202</t>
  </si>
  <si>
    <t>Frais DHL EXPRESS MAI 2025- RASOAMIARAMANANA HARRY ANDRIANIAINA LANGU</t>
  </si>
  <si>
    <t>Extourne DHL EXPRESS MARS 2025- PHARMACIE D'AVARADRANO- REG 112144/PH</t>
  </si>
  <si>
    <t>DHL EXPRESS AVRIL 2025- PHARMACIE D'AVARADRANO- REG 112144/PH/AV/2025</t>
  </si>
  <si>
    <t>AA24-01599/F</t>
  </si>
  <si>
    <t>DHL EXPRESS AVRIL 2025- INSTITUT PASTEUR DE MADAGASCAR- REG AA24-0159</t>
  </si>
  <si>
    <t>009/NOV/VV/2024</t>
  </si>
  <si>
    <t>DHL EXPRESS AVRIL 2025- VEL'VISION (OPHTALMO)- REG 009/NOV/VV/2024</t>
  </si>
  <si>
    <t>2025/0234-P-TNR</t>
  </si>
  <si>
    <t>DHL EXPRESS AVRIL 2025- 5 SENSES - REG 2025/0234-P-TNR</t>
  </si>
  <si>
    <t>1118/03/25/002</t>
  </si>
  <si>
    <t>DHL EXPRESS AVRIL 2025- DR DAVIDSON MARTIN RANDRIAMANANTENA- REG 1118</t>
  </si>
  <si>
    <t>FAC25-17400</t>
  </si>
  <si>
    <t>DHL EXPRESS AVRIL 2025- IMAGERIE INSTITUT MEDICAL DE MADAG- REG FAC25</t>
  </si>
  <si>
    <t>25301/25</t>
  </si>
  <si>
    <t>DHL EXPRESS AVRIL 2025- LE LUNETIER- REG 25301/25</t>
  </si>
  <si>
    <t>FS 384637</t>
  </si>
  <si>
    <t>DHL EXPRESS AVRIL 2025- MARIE STOPES MADAGASCAR TANA- REG FS 384637</t>
  </si>
  <si>
    <t>02/25/046</t>
  </si>
  <si>
    <t>DHL EXPRESS AVRIL 2025- OPTICITY- REG 02/25/046</t>
  </si>
  <si>
    <t>FAC/010120/2025</t>
  </si>
  <si>
    <t>DHL EXPRESS AVRIL 2025- PHARMACIE D'AMBOHIBAO- REG FAC/010120/2025</t>
  </si>
  <si>
    <t>MCI/DHL EXPRESS</t>
  </si>
  <si>
    <t>DHL EXPRESS AVRIL 2025- PHARMACIE D'AMBOHIDRATRIMO- REG MCI/DHL EXPRE</t>
  </si>
  <si>
    <t>112389/PH/AV/2025</t>
  </si>
  <si>
    <t>DHL EXPRESS AVRIL 2025- PHARMACIE D'AVARADRANO- REG 112389/PH/AV/2025</t>
  </si>
  <si>
    <t>FC021201</t>
  </si>
  <si>
    <t>DHL EXPRESS AVRIL 2025- PHARMACIE DE LA DIGUE- REG FC021201</t>
  </si>
  <si>
    <t>VP-1102501</t>
  </si>
  <si>
    <t>DHL EXPRESS AVRIL 2025- PHARMACIE GRACE- REG VP-1102501</t>
  </si>
  <si>
    <t>FAC/003943/2025</t>
  </si>
  <si>
    <t>DHL EXPRESS AVRIL 2025- PHARMACIE NY ANTSIKA- REG FAC/003943/2025</t>
  </si>
  <si>
    <t>LOT 25401/365764</t>
  </si>
  <si>
    <t>DHL EXPRESS AVRIL 2025- PHARMACIE PRINCIPALE- REG LOT 25401/365764</t>
  </si>
  <si>
    <t>002/FEVR/VO/AMBOD</t>
  </si>
  <si>
    <t>DHL EXPRESS AVRIL 2025- VEL'OPTIC (OPHTALMO)- REG 002/FEVR/VO/AMBODIV</t>
  </si>
  <si>
    <t>DHL EXPRESS MAI 2025- PHARMACIE D'IVATO- REG 002055</t>
  </si>
  <si>
    <t>AA25-00275/F</t>
  </si>
  <si>
    <t>DHL EXPRESS AVRIL 2025- INSTITUT PASTEUR DE MADAGASCAR- REG AA25-0027</t>
  </si>
  <si>
    <t>DHL EXPRESS MAI 2025- RAKOTONANAHARY ROJOHERY TSIALONINA- RMBT 23526</t>
  </si>
  <si>
    <t>DHL EXPRESS MAI 2025- RAZAFIMANANTSOA TIANA NIRINA- RMBT 23527</t>
  </si>
  <si>
    <t>DHL EXPRESS MAI 2025- RAKOTOMANGA PAMELA- RMBT 23528</t>
  </si>
  <si>
    <t>DHL EXPRESS MAI 2025- RANDRIAMANAMPISOA FALITIANA HAJA AINA- RMBT 234</t>
  </si>
  <si>
    <t>Frais DHL EXPRESS MAI 2025- RAZAFIMANANTSOA TIANA NIRINA- RMBT 23527</t>
  </si>
  <si>
    <t>DHL EXPRESS MAI 2025- RASAMOELINIAINA LINDA FAMENONTSOA- RMBT 23675</t>
  </si>
  <si>
    <t>DHL EXPRESS MAI 2025- LUXOPTICA- REG 348664</t>
  </si>
  <si>
    <t>Frais DHL EXPRESS MAI 2025- RASAMOELINIAINA LINDA FAMENONTSOA- RMBT 2</t>
  </si>
  <si>
    <t>DHL EXPRESS MAI 2025- MATERNITE DU CENTRE REFERENCE MEDICAL- REG 5609</t>
  </si>
  <si>
    <t>DHL EXPRESS MAI 2025- RAZAFIMANANTSOA TIANA NIRINA- RMBT 23729</t>
  </si>
  <si>
    <t>Frais DHL EXPRESS MAI 2025- RAZAFIMANANTSOA TIANA NIRINA- RMBT 23729</t>
  </si>
  <si>
    <t>25/118</t>
  </si>
  <si>
    <t>DHL EXPRESS MAI 2025- SUD'OPTIC- REG 25/118</t>
  </si>
  <si>
    <t>Commission de Mouvements Mois de MAI 2025</t>
  </si>
  <si>
    <t>Frais de Tenue de Compte Mois de MAI 2025</t>
  </si>
  <si>
    <t>FRAIS DHL EXPRESS DC 300425 310525</t>
  </si>
  <si>
    <t>FRAIS DHL EXPRESS DC 300425</t>
  </si>
  <si>
    <t>FRAIS DHL EXPRESS DC 300425 (2)</t>
  </si>
  <si>
    <t>Frais DHL EXPRESS MAI 2025- RAKOTOMANGA PAMELA- RMBT 23528</t>
  </si>
  <si>
    <t>Frais DHL EXPRESS MAI 2025- RANDRIAMANAMPISOA FALITIANA HAJA AINA- RM</t>
  </si>
  <si>
    <t>Frais DHL EXPRESS MAI 2025- MATERNITE DU CENTRE REFERENCE MEDICAL- RE</t>
  </si>
  <si>
    <t xml:space="preserve">Frais DHL EXPRESS MAI 2025- RAKOTONANAHARY ROJOHERY TSIALONINA- RMBT </t>
  </si>
  <si>
    <t>LOT25544/366983</t>
  </si>
  <si>
    <t>DHL EXPRESS MAI 2025- PHARMACIE PRINCIPALE- REG LOT25544/366983</t>
  </si>
  <si>
    <t>COMPENSATION FOND-HONORAIRE-REG-2025-01-02-03-04-05-FA-DHL EXPRESS</t>
  </si>
  <si>
    <t>MDR/OP/81853</t>
  </si>
  <si>
    <t>DHL EXPRESS MAI 2025- CENTRE DE SANTE DR AGARWAL'S (OPHTALMO)- REG MD</t>
  </si>
  <si>
    <t>DHL EXPRESS MAI 2025- CENTRE MEDICAL AMBATOMENA- REG 202503087</t>
  </si>
  <si>
    <t>0325/002</t>
  </si>
  <si>
    <t>DHL EXPRESS MAI 2025- CENTRE MEDICAL COLISEUM- REG 0325/002</t>
  </si>
  <si>
    <t>DHL EXPRESS MAI 2025- DR  HAJA  RAKOTOVAO (RHUMATOLOGUE)- REG MARS 20</t>
  </si>
  <si>
    <t>FAC/08/02/2025</t>
  </si>
  <si>
    <t>DHL EXPRESS MAI 2025- DR MIRAFINARITRA RAFIDIARIMANANA- REG FAC/08/02</t>
  </si>
  <si>
    <t>2024-0321</t>
  </si>
  <si>
    <t>DHL EXPRESS MAI 2025- DR TOTOLEHIBE AIME NICOLAS - REG 2024-0321</t>
  </si>
  <si>
    <t>25033/25</t>
  </si>
  <si>
    <t>DHL EXPRESS MAI 2025- LE LUNETIER- REG 25033/25</t>
  </si>
  <si>
    <t>DHL EXPRESS MAI 2025- LUXOPTICA- REG 351842</t>
  </si>
  <si>
    <t>FGC/000209/2025</t>
  </si>
  <si>
    <t>DHL EXPRESS MAI 2025- PHARMACIE D'AMBODITSIRY- REG FGC/000209/2025</t>
  </si>
  <si>
    <t>FAC/034580/2025</t>
  </si>
  <si>
    <t>DHL EXPRESS MAI 2025- PHARMACIE D'ANKADINDRATOMBO- REG FAC/034580/202</t>
  </si>
  <si>
    <t>112591/PH/AV/2025</t>
  </si>
  <si>
    <t>DHL EXPRESS MAI 2025- PHARMACIE D'AVARADRANO- REG 112591/PH/AV/2025</t>
  </si>
  <si>
    <t>DHL EXPRESS MAI 2025- PHARMACIE DE LA PERGOLA- REG 167150</t>
  </si>
  <si>
    <t>LOT15411/7516</t>
  </si>
  <si>
    <t>DHL EXPRESS MAI 2025- PHARMACIE DE L'AVENUE- REG LOT15411/7516</t>
  </si>
  <si>
    <t>FGC/000052/2025</t>
  </si>
  <si>
    <t>DHL EXPRESS MAI 2025- PHARMACIE DES 67HA- REG FGC/000052/2025</t>
  </si>
  <si>
    <t>FVC422610</t>
  </si>
  <si>
    <t>DHL EXPRESS MAI 2025- PHARMACIE D'ISORAKA- REG FVC422610</t>
  </si>
  <si>
    <t>DHL EXPRESS MAI 2025- PHARMACIE D'IVATO- REG 003958</t>
  </si>
  <si>
    <t>DHL EXPRESS MAI 2025- PHARMACIE D'IVATO- REG 003245</t>
  </si>
  <si>
    <t>FGC/000235/2025</t>
  </si>
  <si>
    <t>DHL EXPRESS MAI 2025- PHARMACIE SOA TOAMASINA- REG FGC/000235/2025</t>
  </si>
  <si>
    <t>03/25/015</t>
  </si>
  <si>
    <t>DHL EXPRESS MAI 2025- VEL'OPTIC- REG 03/25/015</t>
  </si>
  <si>
    <t>020/AVRIL/VV/2025</t>
  </si>
  <si>
    <t>DHL EXPRESS MAI 2025- VEL'VISION (OPHTALMO)- REG 020/AVRIL/VV/2025</t>
  </si>
  <si>
    <t xml:space="preserve">DHL EXPRESS JUIN 2025- RASOAMIARAMANANA HARRY ANDRIANIAINA LANGUITA- </t>
  </si>
  <si>
    <t>Frais DHL EXPRESS JUIN 2025- RASOAMIARAMANANA HARRY ANDRIANIAINA LANG</t>
  </si>
  <si>
    <t>DHL EXPRESS JUIN 2025- RAKOTONANAHARY ROJOHERY TSIALONINA- RMBT 24432</t>
  </si>
  <si>
    <t>DHL EXPRESS JUIN 2025- RANDRIAMANAMPISOA FALITIANA HAJA AINA- RMBT 24</t>
  </si>
  <si>
    <t>DHL EXPRESS JUIN 2025- RAVAOARIMINO ZOHARIMAHOLY RIMA- RMBT 24478</t>
  </si>
  <si>
    <t>DHL EXPRESS JUIN 2025- RAKOTOMANGA PAMELA- RMBT 24465</t>
  </si>
  <si>
    <t>Frais DHL EXPRESS JUIN 2025- RAKOTONANAHARY ROJOHERY TSIALONINA- RMBT</t>
  </si>
  <si>
    <t>Frais DHL EXPRESS JUIN 2025- RAVAOARIMINO ZOHARIMAHOLY RIMA- RMBT 244</t>
  </si>
  <si>
    <t>Commission de Mouvements Mois de JUIN 2025</t>
  </si>
  <si>
    <t>Frais de Tenue de Compte Mois de JUIN 2025</t>
  </si>
  <si>
    <t>Frais DHL EXPRESS MAI 2025- SUD'OPTIC- REG 25/118</t>
  </si>
  <si>
    <t>FRAIS DHL EXPRESS DC 310525</t>
  </si>
  <si>
    <t>FRAIS DHL EXPRESS DC 310525 (2)</t>
  </si>
  <si>
    <t>DHL EXPRESS JUILLET 2025- RANDRIAMANANJARA JACQUES- RMBT 24607</t>
  </si>
  <si>
    <t>LOT21531/329649</t>
  </si>
  <si>
    <t>DHL EXPRESS JUIN 2025- PHARMACIE PRINCIPALE- REG LOT21531/329649</t>
  </si>
  <si>
    <t>LOT26201/370800</t>
  </si>
  <si>
    <t>DHL EXPRESS JUILLET 2025- PHARMACIE PRINCIPALE- REG LOT26201/370800</t>
  </si>
  <si>
    <t>LOT 26197/371089</t>
  </si>
  <si>
    <t>DHL EXPRESS JUILLET 2025- PHARMACIE PRINCIPALE- REG LOT 26197/371089</t>
  </si>
  <si>
    <t>DHL EXPRESS JUILLET 2025- RASOAMIARAMANANA HARRY ANDRIANIAINA LANGUIT</t>
  </si>
  <si>
    <t>DHL EXPRESS JUIN 2025- LUXOPTICA- REG 351946</t>
  </si>
  <si>
    <t>Frais DHL EXPRESS JUILLET 2025- RASOAMIARAMANANA HARRY ANDRIANIAINA L</t>
  </si>
  <si>
    <t>FAC/007675/2025</t>
  </si>
  <si>
    <t>DHL EXPRESS JUIN 2025- PHARMACIE CROIX DU SUD- REG FAC/007675/2025</t>
  </si>
  <si>
    <t>FAC/018792/2025</t>
  </si>
  <si>
    <t>DHL EXPRESS JUIN 2025- PHARMACIE D'AMBOHIBAO- REG FAC/018792/2025</t>
  </si>
  <si>
    <t>FAC/052883/2025</t>
  </si>
  <si>
    <t>DHL EXPRESS JUIN 2025- PHARMACIE D'ANKADINDRATOMBO- REG FAC/052883/20</t>
  </si>
  <si>
    <t>112891/PH/AV/2025</t>
  </si>
  <si>
    <t>DHL EXPRESS JUIN 2025- PHARMACIE D'AVARADRANO- REG 112891/PH/AV/2025</t>
  </si>
  <si>
    <t>FC021688</t>
  </si>
  <si>
    <t>DHL EXPRESS JUIN 2025- PHARMACIE DE LA DIGUE- REG FC021688</t>
  </si>
  <si>
    <t>FAC/013151/2025</t>
  </si>
  <si>
    <t>DHL EXPRESS JUIN 2025- PHARMACIE DE L'OCEAN INDIEN- REG FAC/013151/20</t>
  </si>
  <si>
    <t>DHL EXPRESS JUIN 2025- PHARMACIE DE MAHAVOKY- REG 11-04/25</t>
  </si>
  <si>
    <t>DHL EXPRESS JUIN 2025- PHARMACIE DU ROI- REG 256621</t>
  </si>
  <si>
    <t>VP-1106833</t>
  </si>
  <si>
    <t>DHL EXPRESS JUIN 2025- PHARMACIE GRACE- REG VP-1106833</t>
  </si>
  <si>
    <t>DHL EXPRESS JUIN 2025- PHARMACIE MANDROSOA- REG 280645</t>
  </si>
  <si>
    <t>FGC/000363/2025</t>
  </si>
  <si>
    <t>DHL EXPRESS JUIN 2025- PHARMACIE SOA TOAMASINA- REG FGC/000363/2025</t>
  </si>
  <si>
    <t>FGC/000426/2025</t>
  </si>
  <si>
    <t>DHL EXPRESS JUIN 2025- PHARMACIE SOAVINA- REG FGC/000426/2025</t>
  </si>
  <si>
    <t>CK N°00013110 du 23/07/2025-COTISATION ESIA DHL EXPRESS 2EM TRIM 2025</t>
  </si>
  <si>
    <t>FC434435</t>
  </si>
  <si>
    <t>DHL EXPRESS JUILLET 2025- PHARMACIE METROPOLE- REG FC434435</t>
  </si>
  <si>
    <t>2025-06-FA-EXPRES</t>
  </si>
  <si>
    <t>2025-06-FA-EXPRESS</t>
  </si>
  <si>
    <t>DHL EXPRESS DECEMBRE 2023- RAZAFIMANANTSOA TIANA NIRINA- RMBT 16691</t>
  </si>
  <si>
    <t>023/CMDFYR/08/23</t>
  </si>
  <si>
    <t>DHL EXPRESS DECEMBRE 2023- CLINIQUE MEDICO-CHIRURGICALE ANDRINDRA- RE</t>
  </si>
  <si>
    <t>FONDHLINTERNATION</t>
  </si>
  <si>
    <t>DHL EXPRESS DECEMBRE 2023- LUXOPTICA- REG 331687</t>
  </si>
  <si>
    <t>13/23/007</t>
  </si>
  <si>
    <t>DHL EXPRESS DECEMBRE 2023- OPTICITY- REG 13/23/007</t>
  </si>
  <si>
    <t>109812/PH/AV/2023</t>
  </si>
  <si>
    <t>DHL EXPRESS DECEMBRE 2023- PHARMACIE AVARADRANO- REG 109812/PH/AV/202</t>
  </si>
  <si>
    <t>109847/PH/AV/2023</t>
  </si>
  <si>
    <t>DHL EXPRESS DECEMBRE 2023- PHARMACIE AVARADRANO- REG 109847/PH/AV/202</t>
  </si>
  <si>
    <t>FAC/301222</t>
  </si>
  <si>
    <t>DHL EXPRESS DECEMBRE 2022- CENTRE DE SANTE BE NY SOA- REG FAC/301222</t>
  </si>
  <si>
    <t>AA22-01628/F</t>
  </si>
  <si>
    <t>DHL EXPRESS DECEMBRE 2022- INSTITUT PASTEUR DE MADAGASCAR- REG AA22-0</t>
  </si>
  <si>
    <t>LOT14843/274003</t>
  </si>
  <si>
    <t>DHL EXPRESS DECEMBRE 2022- PHARMACIE MANDROSOA- REG LOT14843/274003</t>
  </si>
  <si>
    <t>FAC/148560/2023</t>
  </si>
  <si>
    <t>DHL EXPRESS DECEMBRE 2023- PHARMACIE ANKADINDRATOMBO- REG FAC/148560/</t>
  </si>
  <si>
    <t>12/23/037</t>
  </si>
  <si>
    <t>DHL EXPRESS DECEMBRE 2023- OPTICITY- REG 12/23/037</t>
  </si>
  <si>
    <t>DHL EXPRESS DECEMBRE 2023- DR TANTERAKA HASIMBOLA RAZERISELINA- REG 2</t>
  </si>
  <si>
    <t>002019/23Y</t>
  </si>
  <si>
    <t>DHL EXPRESS NOVEMBRE 2023- PHARMACIE TSARASANDRY- REG 002019/23Y</t>
  </si>
  <si>
    <t>LOT22307/336442</t>
  </si>
  <si>
    <t>DHL EXPRESS NOVEMBRE 2023- PHARMACIE PRINCIPALE- REG LOT22307/336442</t>
  </si>
  <si>
    <t>23/11/0576</t>
  </si>
  <si>
    <t>DHL EXPRESS NOVEMBRE 2023- CENTRE DE RADIO DIAGNOSTIQUE ET DE THERAPI</t>
  </si>
  <si>
    <t>DHL EXPRESS NOVEMBRE 2022- ANDRIANOMENARISON JULES- RMBT 10321</t>
  </si>
  <si>
    <t>DHL EXPRESS NOVEMBRE 2022- LEUNG CHI YUEN MYRIA- RMBT 10322</t>
  </si>
  <si>
    <t>3/ALFA/DEC/22</t>
  </si>
  <si>
    <t>DHL EXPRESS DÃ‰CEMBRE 2022- CENTRE MEDICAL ALFA- REG 3/ALFA/DEC/22</t>
  </si>
  <si>
    <t>FC380208</t>
  </si>
  <si>
    <t>DHL EXPRESS NOVEMBRE 2023- PHARMACIE METROPOLE- REG FC380208</t>
  </si>
  <si>
    <t xml:space="preserve">DHL EXPRESS NOVEMBRE 2023- CENTRE TECHNIQUE BIOMEDICAL ANTANANARIVO- </t>
  </si>
  <si>
    <t>23148/23</t>
  </si>
  <si>
    <t>DHL EXPRESS DECEMBRE 2023- LE LUNETIER- REG 23148/23</t>
  </si>
  <si>
    <t>2023/0608-P-TOA</t>
  </si>
  <si>
    <t>DHL EXPRESS DECEMBRE 2023- 5 SENSES TOAMASINA- REG 2023/0608-P-TOA</t>
  </si>
  <si>
    <t>DHL EXPRESS JANVIER 2023- RAZAFIMANANTSOA TIANA NIRINA- RMBT 10926</t>
  </si>
  <si>
    <t>DHL EXPRESS DÃ‰CEMBRE 2023- RAZAFIMANANTSOA TIANA NIRINA- RMBT 16779</t>
  </si>
  <si>
    <t>DHL EXPRESS DÃ‰CEMBRE 2023- MADAME RAMEFISON ANJA - PAV 80- REG 926</t>
  </si>
  <si>
    <t>DHL EXPRESS DÃ‰CEMBRE 2023- ANDRIAMANJATO FALY LALAINA- RMBT 16780</t>
  </si>
  <si>
    <t>DHL EXPRESS DECEMBRE 2022- PHARMACIE SITRAKA- REG 008206</t>
  </si>
  <si>
    <t>003/CMDDIA/11/23</t>
  </si>
  <si>
    <t>DHL EXPRESS DÃ‰CEMBRE 2023- CLINIQUE MEDICO-CHIRURGICALE ANDRINDRA- R</t>
  </si>
  <si>
    <t>22/11/0201</t>
  </si>
  <si>
    <t>DHL EXPRESS DECEMBRE 2022- CENTRE DE RADIO DIAGNOSTIQUE ET DE THERAPI</t>
  </si>
  <si>
    <t>1122/010</t>
  </si>
  <si>
    <t>DHL EXPRESS DECEMBRE 2022- CENTRE MEDICAL COLISEUM- REG 1122/010</t>
  </si>
  <si>
    <t xml:space="preserve">DHL EXPRESS DECEMBRE 2022- CENTRE TECHNIQUE BIOMEDICAL ANTANANARIVO- </t>
  </si>
  <si>
    <t>51/FCCMD/04/12/22</t>
  </si>
  <si>
    <t>DHL EXPRESS DECEMBRE 2022- CLINIQUE MEDICO-CHIRURGICALE ANDRINDRA- RE</t>
  </si>
  <si>
    <t>P168/DEC/22</t>
  </si>
  <si>
    <t>DHL EXPRESS DECEMBRE 2022- CLINIQUE MERE ENFANT ANTSAKAVIRO- REG P168</t>
  </si>
  <si>
    <t>22/5623</t>
  </si>
  <si>
    <t>DHL EXPRESS DECEMBRE 2022- CLINIQUE NOA- REG 22/5623</t>
  </si>
  <si>
    <t>FAC12112022</t>
  </si>
  <si>
    <t>DHL EXPRESS DECEMBRE 2022- DR RAFIDIARIMANA MIRAFINARITRA - REG FAC12</t>
  </si>
  <si>
    <t>DHL EXPRESS DECEMBRE 2022- LUXOPTICA- REG 19522</t>
  </si>
  <si>
    <t>DHL EXPRESS DECEMBRE 2022- MADAME RAMEFISON AVOTRA- REG 0279</t>
  </si>
  <si>
    <t>FAC17112022</t>
  </si>
  <si>
    <t>DHL EXPRESS DECEMBRE 2022- MATERNITE DU CENTRE REFERENCE MEDICAL- REG</t>
  </si>
  <si>
    <t>FAC/109125/2022</t>
  </si>
  <si>
    <t>DHL EXPRESS DECEMBRE 2022- PHARMACIE ANKADINDRATOMBO- REG FAC/109125/</t>
  </si>
  <si>
    <t>1050014/PH/AV2022</t>
  </si>
  <si>
    <t>DHL EXPRESS DECEMBRE 2022- PHARMACIE AVARADRANO- REG 1050014/PH/AV202</t>
  </si>
  <si>
    <t>FAC/191446/2022</t>
  </si>
  <si>
    <t>DHL EXPRESS DECEMBRE 2022- PHARMACIE AMBODITSIRY- REG FAC/191446/2022</t>
  </si>
  <si>
    <t>DHL EXPRESS DECEMBRE 2022- PHARMACIE IVATO- REG 009598</t>
  </si>
  <si>
    <t>FAC/156265/2022</t>
  </si>
  <si>
    <t>DHL EXPRESS DECEMBRE 2022- PHARMACIE D'AMBOHIBAO- REG FAC/156265/2022</t>
  </si>
  <si>
    <t>DHL EXPRESS DECEMBRE 2022- PHARMACIE MAHAVOKY- REG 07-11/22</t>
  </si>
  <si>
    <t>DHL EXPRESS DECEMBRE 2022- PHARMACIE DU ROI- REG 236412</t>
  </si>
  <si>
    <t>DHL EXPRESS DECEMBRE 2022- PHARMACIE HANITRA- REG 221697</t>
  </si>
  <si>
    <t>DHL EXPRESS DECEMBRE 2022- PHARMACIE HARY SOA- REG 167518</t>
  </si>
  <si>
    <t>LOT226267 / 37245</t>
  </si>
  <si>
    <t>DHL EXPRESS JUILLET 2025- PHARMACIE PRINCIPALE- REG LOT226267 / 37245</t>
  </si>
  <si>
    <t>LOT19717</t>
  </si>
  <si>
    <t>DHL EXPRESS DECEMBRE 2022- PHARMACIE PRINCIPALE- REG LOT19717</t>
  </si>
  <si>
    <t>DHL EXPRESS DECEMBRE 2022- PHARMACIE SITRAKA- REG NOVEMBRE 2022</t>
  </si>
  <si>
    <t>FGC/001038/202</t>
  </si>
  <si>
    <t>DHL EXPRESS DECEMBRE 2022- PHARMACIE SOA- REG FGC/001038/202</t>
  </si>
  <si>
    <t>001990/22Y</t>
  </si>
  <si>
    <t>DHL EXPRESS DECEMBRE 2022- PHARMACIE TSARASANDRY- REG 001990/22Y</t>
  </si>
  <si>
    <t>FAC 301122</t>
  </si>
  <si>
    <t>DHL EXPRESS DECEMBRE 2022- SAINT JOSEPH MEDICAL SERVICES- REG FAC 301</t>
  </si>
  <si>
    <t>005/NOV/VO/AMBODI</t>
  </si>
  <si>
    <t>DHL EXPRESS DECEMBRE 2022- VEL'OPTIC- REG 005/NOV/VO/AMBODIVONA/2022</t>
  </si>
  <si>
    <t>006/DECMBRE/VV/20</t>
  </si>
  <si>
    <t>DHL EXPRESS DECEMBRE 2022- VELVISION- REG 006/DECMBRE/VV/2022/LACITY</t>
  </si>
  <si>
    <t>DHL EXPRESS DÃ‰CEMBRE 2023- PHARMACIE DU ROI- REG 243848</t>
  </si>
  <si>
    <t>CEP 202 249 640</t>
  </si>
  <si>
    <t>DHL EXPRESS DÃ‰CEMBRE 2023- CLINIQUE ET MATERNITE SAINT FRANCOIS D'AS</t>
  </si>
  <si>
    <t>004/NOVEMBRE/VO/A</t>
  </si>
  <si>
    <t>DHL EXPRESS DÃ‰CEMBRE 2023- VEL'OPTIC- REG 004/NOVEMBRE/VO/AMBODIVONA</t>
  </si>
  <si>
    <t>VP.964158</t>
  </si>
  <si>
    <t>DHL EXPRESS DÃ‰CEMBRE 2023- PHARMACIE GRACE- REG VP.964158</t>
  </si>
  <si>
    <t>FVC4117911</t>
  </si>
  <si>
    <t>DHL EXPRESS DÃ‰CEMBRE 2023- PHARMACIE D'ISORAKA- REG FVC4117911</t>
  </si>
  <si>
    <t>23/713</t>
  </si>
  <si>
    <t>DHL EXPRESS DÃ‰CEMBRE 2023- SUD OPTIC- REG 23/713</t>
  </si>
  <si>
    <t>LOT22339/339459</t>
  </si>
  <si>
    <t>DHL EXPRESS DÃ‰CEMBRE 2023- PHARMACIE PRINCIPALE- REG LOT22339/339459</t>
  </si>
  <si>
    <t>AA22-01790/F</t>
  </si>
  <si>
    <t>DHL EXPRESS JANVIER 2023- INSTITUT PASTEUR DE MADAGASCAR- REG AA22-01</t>
  </si>
  <si>
    <t>DHL EXPRESS JANVIER 2024- PHARMACIE DE LA PERGOLA- REG 165724</t>
  </si>
  <si>
    <t>FGC/000005/2024</t>
  </si>
  <si>
    <t>DHL EXPRESS JANVIER 2024- PHARMACIE SOA TOAMASINA- REG FGC/000005/202</t>
  </si>
  <si>
    <t>022/MKDF/10/23</t>
  </si>
  <si>
    <t>DHL EXPRESS JANVIER 2024- CLINIQUE MEDICO-CHIRURGICALE ANDRINDRA- REG</t>
  </si>
  <si>
    <t>Virement reçu-COTISATION 4TRIM 2022 DHL EXPRESS</t>
  </si>
  <si>
    <t>COTISATION ESIA 4E TRIMESTIEL 2022 - CHQ 00013003</t>
  </si>
  <si>
    <t>DHL EXPRESS JANVIER 2023- RABEMIARITSOA LOVA HERILALA- RMBT 11107</t>
  </si>
  <si>
    <t>105615/PH/AV2023</t>
  </si>
  <si>
    <t>DHL EXPRESS JANVIER 2023- PHARMACIE AVARADRANO- REG 105615/PH/AV2023</t>
  </si>
  <si>
    <t>FGC/000248/2023</t>
  </si>
  <si>
    <t>DHL EXPRESS JANVIER 2023- PHARMACIE DE TANA- REG FGC/000248/2023</t>
  </si>
  <si>
    <t>LOT14.881/274159</t>
  </si>
  <si>
    <t>DHL EXPRESS JANVIER 2023- PHARMACIE MANDROSOA- REG LOT14.881/274159</t>
  </si>
  <si>
    <t>DHL EXPRESS JANVIER 2023- PHARMACIE HANITRA- REG 230018</t>
  </si>
  <si>
    <t>AA23-00072/F</t>
  </si>
  <si>
    <t>DHL EXPRESS FEVRIER 2023- INSTITUT PASTEUR DE MADAGASCAR- REG AA23-00</t>
  </si>
  <si>
    <t>1023/006</t>
  </si>
  <si>
    <t>DHL EXPRESS DÃ‰CEMBRE 2023- CENTRE MEDICAL COLISEUM- REG 1023/006</t>
  </si>
  <si>
    <t>LOT14680/482</t>
  </si>
  <si>
    <t>DHL EXPRESS DÃ‰CEMBRE 2023- PHARMACIE COLISEUM- REG LOT14680/482</t>
  </si>
  <si>
    <t>22127/22</t>
  </si>
  <si>
    <t>DHL EXPRESS JANVIER 2023- LE LUNETIER- REG 22127/22</t>
  </si>
  <si>
    <t>DHL EXPRESS JANVIER 2023- LUXOPTICA- REG 23953</t>
  </si>
  <si>
    <t>DHL EXPRESS JANVIER 2023- MADAME RAMEFISON ANJA - PAV 80- REG 223</t>
  </si>
  <si>
    <t>11/22/089</t>
  </si>
  <si>
    <t>DHL EXPRESS JANVIER 2023- VEL'OPTIC- REG 11/22/089</t>
  </si>
  <si>
    <t>LOT20246/320646</t>
  </si>
  <si>
    <t>DHL EXPRESS FEVRIER 2023- PHARMACIE PRINCIPALE- REG LOT20246/320646</t>
  </si>
  <si>
    <t xml:space="preserve">DHL EXPRESS MARS 2023- RAZAFIMANANTSOA TIANA NIRINA- RMBT </t>
  </si>
  <si>
    <t>105780/PH/AV/2023</t>
  </si>
  <si>
    <t>DHL EXPRESS MARS 2023- PHARMACIE AVARADRANO- REG 105780/PH/AV/2023</t>
  </si>
  <si>
    <t>23/0037</t>
  </si>
  <si>
    <t>DHL EXPRESS JANVIER 2023- CLINIQUE NOA- REG 23/0037</t>
  </si>
  <si>
    <t>32.021</t>
  </si>
  <si>
    <t>DHL EXPRESS JANVIER 2023- CABINET NOOR- REG 32.021</t>
  </si>
  <si>
    <t>DHL EXPRESS JANVIER 2023- CENTRE MEDICAL AMBATOMENA- REG 202302013</t>
  </si>
  <si>
    <t>0123/004</t>
  </si>
  <si>
    <t>DHL EXPRESS JANVIER 2023- CENTRE MEDICAL COLISEUM- REG 0123/004</t>
  </si>
  <si>
    <t>DHL EXPRESS JANVIER 2023- CENTRE TECHNIQUE BIOMEDICAL ANTANANARIVO- R</t>
  </si>
  <si>
    <t>DHL EXPRESS JANVIER 2023- CLINIQUE NATHAN- REG 09</t>
  </si>
  <si>
    <t>FAC13012023</t>
  </si>
  <si>
    <t>DHL EXPRESS JANVIER 2023- DR RAFIDIARIMANA MIRAFINARITRA - REG FAC130</t>
  </si>
  <si>
    <t>DHL EXPRESS JANVIER 2023- LUXOPTICA- REG 26259</t>
  </si>
  <si>
    <t>DHL EXPRESS JANVIER 2023- MADAME RAMEFISON AVOTRA- REG 0344</t>
  </si>
  <si>
    <t>DHL EXPRESS JANVIER 2023- MARIE STOPES MADAGASCAR TANA- REG 335210</t>
  </si>
  <si>
    <t>DECEMBRE 2022</t>
  </si>
  <si>
    <t xml:space="preserve">DHL EXPRESS JANVIER 2023- MATERNITE DU CENTRE REFERENCE MEDICAL- REG </t>
  </si>
  <si>
    <t>01/23/074</t>
  </si>
  <si>
    <t>DHL EXPRESS JANVIER 2023- OPTICITY- REG 01/23/074</t>
  </si>
  <si>
    <t>FAC/123873/2022</t>
  </si>
  <si>
    <t>DHL EXPRESS JANVIER 2023- PHARMACIE ANKADINDRATOMBO- REG FAC/123873/2</t>
  </si>
  <si>
    <t>FAC/010006/2023</t>
  </si>
  <si>
    <t>DHL EXPRESS JANVIER 2023- PHARMACIE AMBODITSIRY- REG FAC/010006/2023</t>
  </si>
  <si>
    <t>FAC/005611/2023</t>
  </si>
  <si>
    <t>DHL EXPRESS JANVIER 2023- PHARMACIE D'AMBOHIBAO- REG FAC/005611/2023</t>
  </si>
  <si>
    <t>DHL EXPRESS JANVIER 2023- PHARMACIE MAHAVOKY- REG 11-01-23</t>
  </si>
  <si>
    <t>VP.868067</t>
  </si>
  <si>
    <t>DHL EXPRESS JANVIER 2023- PHARMACIE GRACE- REG VP.868067</t>
  </si>
  <si>
    <t>DHL EXPRESS JANVIER 2023- PHARMACIE HANITRA- REG 230008</t>
  </si>
  <si>
    <t>FC342213</t>
  </si>
  <si>
    <t>DHL EXPRESS JANVIER 2023- PHARMACIE METROPOLE- REG FC342213</t>
  </si>
  <si>
    <t>LOT 20.001/317490</t>
  </si>
  <si>
    <t>DHL EXPRESS JANVIER 2023- PHARMACIE PRINCIPALE- REG LOT 20.001/317490</t>
  </si>
  <si>
    <t>000021/23Y</t>
  </si>
  <si>
    <t>DHL EXPRESS JANVIER 2023- PHARMACIE TSARASANDRY- REG 000021/23Y</t>
  </si>
  <si>
    <t>013/DECEMBRE/VV/2</t>
  </si>
  <si>
    <t>DHL EXPRESS JANVIER 2023- VELVISION- REG 013/DECEMBRE/VV/2022/LACITY</t>
  </si>
  <si>
    <t>DHL EXPRESS MARS 2023- ANDRIANOMENARISON JULES- RMBT 11583</t>
  </si>
  <si>
    <t>DHL EXPRESS JUILLET 2025- VOLANAHARIMANITRA VOLANAHARI- RMBT 24955</t>
  </si>
  <si>
    <t>DHL EXPRESS MARS 2023- RAZAFIMANANTSOA TIANA NIRINA- RMBT 11584</t>
  </si>
  <si>
    <t>FVC413231</t>
  </si>
  <si>
    <t>DHL EXPRESS MARS 2023- PHARMACIE D'ISORAKA- REG FVC413231</t>
  </si>
  <si>
    <t>DHL EXPRESS MARS 2023- PHARMACIE DU ROI- REG 238281</t>
  </si>
  <si>
    <t>14.916/274356</t>
  </si>
  <si>
    <t>DHL EXPRESS MARS 2023- PHARMACIE MANDROSOA- REG 14.916/274356</t>
  </si>
  <si>
    <t>FC348949</t>
  </si>
  <si>
    <t>DHL EXPRESS MARS 2023- PHARMACIE METROPOLE- REG FC348949</t>
  </si>
  <si>
    <t>FGC/000035/2023</t>
  </si>
  <si>
    <t>DHL EXPRESS MARS 2023- PHARMACIE ANKADINDRATOMBO- REG FGC/000035/2023</t>
  </si>
  <si>
    <t>FAC02022023</t>
  </si>
  <si>
    <t>DHL EXPRESS FEVRIER 2023- CABINET DENTAIRE NIRINA - REG FAC02022023</t>
  </si>
  <si>
    <t>PH A/2025/063</t>
  </si>
  <si>
    <t>DHL EXPRESS JUILLET 2025- PHARMACIE ANDRY- REG PH A/2025/063</t>
  </si>
  <si>
    <t>FAC/040975/2025</t>
  </si>
  <si>
    <t>DHL EXPRESS JUILLET 2025- PHARMACIE D'AMBOHIBAO- REG FAC/040975/2025</t>
  </si>
  <si>
    <t>113225/PH/AV/2025</t>
  </si>
  <si>
    <t>DHL EXPRESS JUILLET 2025- PHARMACIE D'AVARADRANO- REG 113225/PH/AV/20</t>
  </si>
  <si>
    <t>DHL EXPRESS JUILLET 2025- PHARMACIE D'IVATO- REG 005228</t>
  </si>
  <si>
    <t>VP- 1132966</t>
  </si>
  <si>
    <t>DHL EXPRESS JUILLET 2025- PHARMACIE GRACE- REG VP- 1132966</t>
  </si>
  <si>
    <t>DHL EXPRESS JUILLET 2025- PHARMACIE HANITRA- REG 250641</t>
  </si>
  <si>
    <t>LOT16037/280859</t>
  </si>
  <si>
    <t>DHL EXPRESS JUILLET 2025- PHARMACIE MANDROSOA- REG LOT16037/280859</t>
  </si>
  <si>
    <t>FCG/000584/2025</t>
  </si>
  <si>
    <t>DHL EXPRESS JUILLET 2025- PHARMACIE SOA TOAMASINA- REG FCG/000584/202</t>
  </si>
  <si>
    <t>816/25Y</t>
  </si>
  <si>
    <t>DHL EXPRESS JUILLET 2025- PHARMACIE TSARASANDRY- REG 816/25Y</t>
  </si>
  <si>
    <t>0123/007</t>
  </si>
  <si>
    <t>DHL EXPRESS FEVRIER 2023- CENTRE MEDICAL COLISEUM- REG 0123/007</t>
  </si>
  <si>
    <t>010/MK/02/23</t>
  </si>
  <si>
    <t>DHL EXPRESS FEVRIER 2023- CLINIQUE MEDICO-CHIRURGICALE ANDRINDRA- REG</t>
  </si>
  <si>
    <t>23/0466</t>
  </si>
  <si>
    <t>DHL EXPRESS FEVRIER 2023- CLINIQUE NOA- REG 23/0466</t>
  </si>
  <si>
    <t>1118/02/23/0009</t>
  </si>
  <si>
    <t>DHL EXPRESS FEVRIER 2023- DR RANDRIAMANANTENA DAVIDSON MARTIN- REG 11</t>
  </si>
  <si>
    <t>87/RAD-02-23</t>
  </si>
  <si>
    <t>DHL EXPRESS FEVRIER 2023- DR RAZAKATIANA ALLAIN- REG 87/RAD-02-23</t>
  </si>
  <si>
    <t>FAF98161</t>
  </si>
  <si>
    <t>DHL EXPRESS FEVRIER 2023- INSTITUT MEDICAL DE MADAGASCAR- REG FAF9816</t>
  </si>
  <si>
    <t>FAC/010916/2023</t>
  </si>
  <si>
    <t>DHL EXPRESS FEVRIER 2023- PHARMACIE DE TANA- REG FAC/010916/2023</t>
  </si>
  <si>
    <t>DHL EXPRESS FEVRIER 2023- PHARMACIE SITRAKA- REG 8207</t>
  </si>
  <si>
    <t>000323/23Y</t>
  </si>
  <si>
    <t>DHL EXPRESS FEVRIER 2023- PHARMACIE TSARASANDRY- REG 000323/23Y</t>
  </si>
  <si>
    <t>LOT20545/321203</t>
  </si>
  <si>
    <t>DHL EXPRESS MARS 2023- PHARMACIE PRINCIPALE- REG LOT20545/321203</t>
  </si>
  <si>
    <t>CK N° 00001301 du 05/05/23DHL EXPRES- COTISATION ESIA 1E TRIMESTRE 23</t>
  </si>
  <si>
    <t>FAC/015395/2023</t>
  </si>
  <si>
    <t>DHL EXPRESS MARS 2023- PHARMACIE D'AMBOHIBAO- REG FAC/015395/2023</t>
  </si>
  <si>
    <t>0283/007</t>
  </si>
  <si>
    <t>DHL EXPRESS AVRIL 2023- CENTRE MEDICAL COLISEUM- REG 0283/007</t>
  </si>
  <si>
    <t>DHL EXPRESS AVRIL 2023- CENTRE TECHNIQUE BIOMEDICAL ANTANANARIVO- REG</t>
  </si>
  <si>
    <t>040/CME/DMC/09/23</t>
  </si>
  <si>
    <t>DHL EXPRESS AVRIL 2023- CLINIQUE MEDICO-CHIRURGICALE ANDRINDRA- REG 0</t>
  </si>
  <si>
    <t>231/23</t>
  </si>
  <si>
    <t>DHL EXPRESS AVRIL 2023- CLINIQUE MEDICO CHIRURGICALE IMAHO- REG 231/2</t>
  </si>
  <si>
    <t>23/1245</t>
  </si>
  <si>
    <t>DHL EXPRESS AVRIL 2023- CLINIQUE NOA- REG 23/1245</t>
  </si>
  <si>
    <t>FAC11032023</t>
  </si>
  <si>
    <t>DHL EXPRESS AVRIL 2023- DR RAFIDIARIMANA MIRAFINARITRA - REG FAC11032</t>
  </si>
  <si>
    <t>2298/04/23/0011</t>
  </si>
  <si>
    <t>DHL EXPRESS AVRIL 2023- DR RANDRIAMANANTENA DAVIDSON MARTIN- REG 2298</t>
  </si>
  <si>
    <t>FAC14032023</t>
  </si>
  <si>
    <t>DHL EXPRESS AVRIL 2023- EYE CARE- REG FAC14032023</t>
  </si>
  <si>
    <t>DHL EXPRESS AVRIL 2023- LUXOPTICA- REG 29334</t>
  </si>
  <si>
    <t>DHL EXPRESS AVRIL 2023- MARIE STOPES MADAGASCAR TANA- REG 338606</t>
  </si>
  <si>
    <t>FAC/007190/2023</t>
  </si>
  <si>
    <t>DHL EXPRESS AVRIL 2023- PHARMACIE DE L'HORIZON- REG FAC/007190/2023</t>
  </si>
  <si>
    <t>FGC/000194/2023</t>
  </si>
  <si>
    <t>DHL EXPRESS AVRIL 2023- PHARMACIE DE L'OCEAN INDIEN- REG FGC/000194/2</t>
  </si>
  <si>
    <t>VP.895371</t>
  </si>
  <si>
    <t>DHL EXPRESS AVRIL 2023- PHARMACIE GRACE- REG VP.895371</t>
  </si>
  <si>
    <t>DHL EXPRESS AVRIL 2023- PHARMACIE SITRAKA- REG MARS 2023</t>
  </si>
  <si>
    <t>000426/23Y</t>
  </si>
  <si>
    <t>DHL EXPRESS AVRIL 2023- PHARMACIE TSARASANDRY- REG 000426/23Y</t>
  </si>
  <si>
    <t>2226/C/EXT/2023</t>
  </si>
  <si>
    <t>DHL EXPRESS AVRIL 2023- POLYCLINIQUE ILAFY- REG 2226/C/EXT/2023</t>
  </si>
  <si>
    <t>03/23/039</t>
  </si>
  <si>
    <t>DHL EXPRESS AVRIL 2023- VEL'OPTIC- REG 03/23/039</t>
  </si>
  <si>
    <t>002/MARS/VV/2023/</t>
  </si>
  <si>
    <t>DHL EXPRESS AVRIL 2023- VELVISION- REG 002/MARS/VV/2023/LACITY</t>
  </si>
  <si>
    <t>DHL EXPRESS MAI 2023- RATSILEFITRA MIALY- RMBT 11962</t>
  </si>
  <si>
    <t>DHL EXPRESS MAI 2023- DR RAZERISELINA TANTERAKA HASIMBOLA- REG 08/05/</t>
  </si>
  <si>
    <t>DHL EXPRESS MAI 2023- MADAME RAMEFISON ANJA - PAV 80- REG 448</t>
  </si>
  <si>
    <t>0430/04F/23</t>
  </si>
  <si>
    <t>DHL EXPRESS MAI 2023- PHARMACIE ANKADIFOTSY- REG 0430/04F/23</t>
  </si>
  <si>
    <t>FAC/049479/2023</t>
  </si>
  <si>
    <t>DHL EXPRESS MAI 2023- PHARMACIE ANKADINDRATOMBO- REG FAC/049479/2023</t>
  </si>
  <si>
    <t>106021/PH/AV/2023</t>
  </si>
  <si>
    <t>DHL EXPRESS MAI 2023- PHARMACIE AVARADRANO- REG 106021/PH/AV/2023</t>
  </si>
  <si>
    <t>FAC/025935/2023</t>
  </si>
  <si>
    <t>DHL EXPRESS MAI 2023- PHARMACIE DE TANA- REG FAC/025935/2023</t>
  </si>
  <si>
    <t>VP.905791</t>
  </si>
  <si>
    <t>DHL EXPRESS MAI 2023- PHARMACIE GRACE- REG VP.905791</t>
  </si>
  <si>
    <t>LOT14976/274691</t>
  </si>
  <si>
    <t>DHL EXPRESS MAI 2023- PHARMACIE MANDROSOA- REG LOT14976/274691</t>
  </si>
  <si>
    <t>0006110/23Y</t>
  </si>
  <si>
    <t>DHL EXPRESS MAI 2023- PHARMACIE TSARASANDRY- REG 0006110/23Y</t>
  </si>
  <si>
    <t>001/AVRIL/VO/2023</t>
  </si>
  <si>
    <t>DHL EXPRESS MAI 2023- VEL'OPTIC- REG 001/AVRIL/VO/2023</t>
  </si>
  <si>
    <t>FC352626</t>
  </si>
  <si>
    <t>DHL EXPRESS MAI 2023- PHARMACIE METROPOLE- REG FC352626</t>
  </si>
  <si>
    <t>FVC413671</t>
  </si>
  <si>
    <t>DHL EXPRESS MAI 2023- PHARMACIE D'ISORAKA- REG FVC413671</t>
  </si>
  <si>
    <t>DHL EXPRESS MAI 2023- SAINT JOSEPH MEDICAL SERVICES- REG 12 AVR 2023</t>
  </si>
  <si>
    <t>FAC/006428/2023</t>
  </si>
  <si>
    <t>DHL EXPRESS MAI 2023- PHARMACIE ANKADINDRATOMBO- REG FAC/006428/2023</t>
  </si>
  <si>
    <t>LOT20798/323380</t>
  </si>
  <si>
    <t>DHL EXPRESS MAI 2023- PHARMACIE PRINCIPALE- REG LOT20798/323380</t>
  </si>
  <si>
    <t>DHL EXPRESS JUIN 2023- LEUNG CHI YUEN MYRIA- RMBT 13061</t>
  </si>
  <si>
    <t>DHL EXPRESS JUIN 2023- RANDRATOMANGA ANDRIANAIVOSON TINA- RMBT 13063</t>
  </si>
  <si>
    <t>DHL EXPRESS JUIN 2023- RATSILEFITRA MIALY- RMBT 13062</t>
  </si>
  <si>
    <t>FAC04052023</t>
  </si>
  <si>
    <t>DHL EXPRESS JUIN 2023- CABINET DENTAIRE NIRINA - REG FAC04052023</t>
  </si>
  <si>
    <t>33.113</t>
  </si>
  <si>
    <t>DHL EXPRESS JUIN 2023- CABINET NOOR- REG 33.113</t>
  </si>
  <si>
    <t>0423/005</t>
  </si>
  <si>
    <t>DHL EXPRESS JUIN 2023- CENTRE MEDICAL COLISEUM- REG 0423/005</t>
  </si>
  <si>
    <t>216/CMCAFCDD/15/2</t>
  </si>
  <si>
    <t>DHL EXPRESS JUIN 2023- CLINIQUE MEDICO-CHIRURGICALE ANDRINDRA- REG 21</t>
  </si>
  <si>
    <t>293/23</t>
  </si>
  <si>
    <t>DHL EXPRESS JUIN 2023- CLINIQUE MEDICO CHIRURGICALE IMAHO- REG 293/23</t>
  </si>
  <si>
    <t>23/1756</t>
  </si>
  <si>
    <t>DHL EXPRESS JUIN 2023- CLINIQUE NOA- REG 23/1756</t>
  </si>
  <si>
    <t>FAC31052023</t>
  </si>
  <si>
    <t>DHL EXPRESS JUIN 2023- DR RAFIDIARIMANA MIRAFINARITRA - REG FAC310520</t>
  </si>
  <si>
    <t>AA23-00734/F</t>
  </si>
  <si>
    <t>DHL EXPRESS JUIN 2023- INSTITUT PASTEUR DE MADAGASCAR- REG AA23-00734</t>
  </si>
  <si>
    <t>DHL EXPRESS JUIN 2023- MATERNITE DU CENTRE REFERENCE MEDICAL- REG AVR</t>
  </si>
  <si>
    <t>0530/05M/23</t>
  </si>
  <si>
    <t>DHL EXPRESS JUIN 2023- PHARMACIE ANKADIFOTSY- REG 0530/05M/23</t>
  </si>
  <si>
    <t>FAC/066713/2023</t>
  </si>
  <si>
    <t>DHL EXPRESS JUIN 2023- PHARMACIE ANKADINDRATOMBO- REG FAC/066713/2023</t>
  </si>
  <si>
    <t>107270/PH/AV/2023</t>
  </si>
  <si>
    <t>DHL EXPRESS JUIN 2023- PHARMACIE AVARADRANO- REG 107270/PH/AV/2023</t>
  </si>
  <si>
    <t>FC355214</t>
  </si>
  <si>
    <t>DHL EXPRESS JUIN 2023- PHARMACIE METROPOLE- REG FC355214</t>
  </si>
  <si>
    <t>LOT21076/326068</t>
  </si>
  <si>
    <t>DHL EXPRESS JUIN 2023- PHARMACIE PRINCIPALE- REG LOT21076/326068</t>
  </si>
  <si>
    <t>000882/23Y</t>
  </si>
  <si>
    <t>DHL EXPRESS JUIN 2023- PHARMACIE TSARASANDRY- REG 000882/23Y</t>
  </si>
  <si>
    <t>4251/C/EXT/2023</t>
  </si>
  <si>
    <t>DHL EXPRESS JUIN 2023- POLYCLINIQUE ILAFY- REG 4251/C/EXT/2023</t>
  </si>
  <si>
    <t>DHL EXPRESS JUIN 2023- LUXOPTICA- REG 31731</t>
  </si>
  <si>
    <t>323/006</t>
  </si>
  <si>
    <t>DHL EXPRESS JUIN 2023- CENTRE MEDICAL COLISEUM- REG 323/006</t>
  </si>
  <si>
    <t>DHL EXPRESS JUILLET 2023- CENTRE MEDICAL AMBATOMENA- REG 202304063</t>
  </si>
  <si>
    <t>DHL EXPRESS JUILLET 2023- CENTRE DE SANTE BE NY SOA- REG 20/03/2023</t>
  </si>
  <si>
    <t>DHL EXPRESS JUIN 2023- CENTRE MEDICAL MIAINA SOA- REG 024</t>
  </si>
  <si>
    <t>DHL EXPRESS JUILLET 2023- RANAIVO IONIMALALA- RMBT 13383</t>
  </si>
  <si>
    <t>DHL EXPRESS JUILLET 2023- ORL AUDIOLOGY CLINIC AMBOHIBAO- REG 0022845</t>
  </si>
  <si>
    <t>AA23/00902/F</t>
  </si>
  <si>
    <t>DHL EXPRESS JUILLET 2023- INSTITUT PASTEUR DE MADAGASCAR- REG AA23/00</t>
  </si>
  <si>
    <t>107429/PH/AV/2023</t>
  </si>
  <si>
    <t>DHL EXPRESS JUILLET 2023- PHARMACIE AVARADRANO- REG 107429/PH/AV/2023</t>
  </si>
  <si>
    <t>VP.917645</t>
  </si>
  <si>
    <t>DHL EXPRESS JUILLET 2023- PHARMACIE GRACE- REG VP.917645</t>
  </si>
  <si>
    <t>DHL EXPRESS JUILLET 2023- PHARMACIE MANDROSOA- REG 274964</t>
  </si>
  <si>
    <t>000981/23Y</t>
  </si>
  <si>
    <t>DHL EXPRESS JUILLET 2023- PHARMACIE TSARASANDRY- REG 000981/23Y</t>
  </si>
  <si>
    <t>DHL EXPRESS JUILLET 2023- CLINIQUE NATHAN- REG 13</t>
  </si>
  <si>
    <t>VP.910894</t>
  </si>
  <si>
    <t>DHL EXPRESS JUILLET 2023- PHARMACIE GRACE- REG VP.910894</t>
  </si>
  <si>
    <t>LOT21302/327373</t>
  </si>
  <si>
    <t>DHL EXPRESS JUILLET 2023- PHARMACIE PRINCIPALE- REG LOT21302/327373</t>
  </si>
  <si>
    <t>DHL EXPRESS JUILLET 2023- EYE CARE- REG 150423</t>
  </si>
  <si>
    <t>CK N° 00013027 du 07/08/23DHL EXPRES- COTISATION ESIA 2E TRIMESTRE 23</t>
  </si>
  <si>
    <t>DHL EXPRESS AOÃ›T 2023- PHARMACIE IVATO- REG 004204</t>
  </si>
  <si>
    <t>108020/PH/AV/2023</t>
  </si>
  <si>
    <t>DHL EXPRESS AOÃ›T 2023- PHARMACIE AVARADRANO- REG 108020/PH/AV/2023</t>
  </si>
  <si>
    <t>DHL EXPRESS AOÃ›T 2023- PHARMACIE MAHAVOKY- REG 03-07/23</t>
  </si>
  <si>
    <t>FAC/082415/2023</t>
  </si>
  <si>
    <t>DHL EXPRESS AOÃ›T 2023- PHARMACIE ANKADINDRATOMBO- REG FAC/082415/202</t>
  </si>
  <si>
    <t>DHL EXPRESS AOÃ›T 2023- PHARMACIE DU ROI- REG 241086</t>
  </si>
  <si>
    <t>FAC/120723</t>
  </si>
  <si>
    <t>DHL EXPRESS AOÃ›T 2023- CENTRE DE SANTE BE NY SOA- REG FAC/120723</t>
  </si>
  <si>
    <t>VP.925595</t>
  </si>
  <si>
    <t>DHL EXPRESS AOÃ›T 2023- PHARMACIE GRACE- REG VP.925595</t>
  </si>
  <si>
    <t>DHL EXPRESS AOÃ›T 2023- ORL AUDIOLOGY CLINIC AMBOHIBAO- REG 0023109</t>
  </si>
  <si>
    <t>LOT21718/331378</t>
  </si>
  <si>
    <t>DHL EXPRESS AOÃ›T 2023- PHARMACIE PRINCIPALE- REG LOT21718/331378</t>
  </si>
  <si>
    <t>AN23-01895/F</t>
  </si>
  <si>
    <t>DHL EXPRESS AOÃ›T 2023- INSTITUT PASTEUR DE MADAGASCAR- REG AN23-0189</t>
  </si>
  <si>
    <t>1418/08/006</t>
  </si>
  <si>
    <t>DHL EXPRESS AOÃ›T 2023- DR RANDRIAMANANTENA DAVIDSON MARTIN- REG 1418</t>
  </si>
  <si>
    <t>0723/003</t>
  </si>
  <si>
    <t>DHL EXPRESS AOÃ›T 2023- CENTRE MEDICAL COLISEUM- REG 0723/003</t>
  </si>
  <si>
    <t>DHL EXPRESS AOÃ›T 2023- PHARMACIE HANITRA- REG 231220</t>
  </si>
  <si>
    <t>DHL EXPRESS AOÃ›T 2023- ORL AUDIOLOGY CLINIC AMBOHIBAO- REG 0023194</t>
  </si>
  <si>
    <t>DHL EXPRESS AOÃ›T 2023- LUXOPTICA- REG 327392</t>
  </si>
  <si>
    <t>DHL EXPRESS AOÃ›T 2023- MADAME RAMEFISON AVOTRA- REG 0772</t>
  </si>
  <si>
    <t>23/2216</t>
  </si>
  <si>
    <t>DHL EXPRESS AOÃ›T 2023- CLINIQUE NOA- REG 23/2216</t>
  </si>
  <si>
    <t>DHL EXPRESS SEPTEMBRE 2023- RAZAFIMAMONJY MIRANA- RMBT 13923</t>
  </si>
  <si>
    <t>15/ALFA/JUIL/23</t>
  </si>
  <si>
    <t>DHL EXPRESS SEPTEMBRE 2023- CENTRE MEDICAL ALFA- REG 15/ALFA/JUIL/23</t>
  </si>
  <si>
    <t>001/AOUT/VV/2023/</t>
  </si>
  <si>
    <t>DHL EXPRESS SEPTEMBRE 2023- VELVISION- REG 001/AOUT/VV/2023/LACITY</t>
  </si>
  <si>
    <t>001425/23Y</t>
  </si>
  <si>
    <t>DHL EXPRESS SEPTEMBRE 2023- PHARMACIE TSARASANDRY- REG 001425/23Y</t>
  </si>
  <si>
    <t>FAC/086505/2023</t>
  </si>
  <si>
    <t>DHL EXPRESS SEPTEMBRE 2023- PHARMACIE D'AMBOHIBAO- REG FAC/086505/202</t>
  </si>
  <si>
    <t>Frais DHL EXPRESS JUILLET 2025- VOLANAHARIMANITRA VOLANAHARI- RMBT 24</t>
  </si>
  <si>
    <t>DHL EXPRESS SEPTEMBRE 2023- RAKOTONDRAVOAVY SANDRA- RMBT 13976</t>
  </si>
  <si>
    <t>DHL EXPRESS SEPTEMBRE 2023- RAKOTONDRAVOAVY SANDRA- RMBT 13953</t>
  </si>
  <si>
    <t>DHL EXPRESS SEPTEMBRE 2023- RANAIVO IONIMALALA- RMBT 13954</t>
  </si>
  <si>
    <t>DHL EXPRESS SEPTEMBRE 2023- PHARMACIE DU ROI- REG 241944</t>
  </si>
  <si>
    <t>MRN 009685</t>
  </si>
  <si>
    <t>DHL EXPRESS SEPTEMBRE 2023- MARIE STOPES MADAGASCAR TANA- REG MRN 009</t>
  </si>
  <si>
    <t>FAC/030623</t>
  </si>
  <si>
    <t>DHL EXPRESS SEPTEMBRE 2023- CABINET DENTAIRE NIRINA - REG FAC/030623</t>
  </si>
  <si>
    <t>0623/001</t>
  </si>
  <si>
    <t>DHL EXPRESS SEPTEMBRE 2023- CENTRE MEDICAL COLISEUM- REG 0623/001</t>
  </si>
  <si>
    <t>166/05/23</t>
  </si>
  <si>
    <t>DHL EXPRESS SEPTEMBRE 2023- CENTRE MEDICAL SOAVA- REG 166/05/23</t>
  </si>
  <si>
    <t>FAC/060723</t>
  </si>
  <si>
    <t>DHL EXPRESS SEPTEMBRE 2023- CENTRE DE SANTE BE NY SOA- REG FAC/060723</t>
  </si>
  <si>
    <t>23085/23</t>
  </si>
  <si>
    <t>DHL EXPRESS SEPTEMBRE 2023- LE LUNETIER- REG 23085/23</t>
  </si>
  <si>
    <t>01266/23Y</t>
  </si>
  <si>
    <t>DHL EXPRESS SEPTEMBRE 2023- PHARMACIE TSARASANDRY- REG 01266/23Y</t>
  </si>
  <si>
    <t>FAC/098736/2023</t>
  </si>
  <si>
    <t>DHL EXPRESS SEPTEMBRE 2023- PHARMACIE ANKADINDRATOMBO- REG FAC/098736</t>
  </si>
  <si>
    <t>DHL EXPRESS SEPTEMBRE 2023- CABINET NOOR- REG 34 449</t>
  </si>
  <si>
    <t>DHL EXPRESS SEPTEMBRE 2023- LUXOPTICA- REG 327752</t>
  </si>
  <si>
    <t>23/3595</t>
  </si>
  <si>
    <t>DHL EXPRESS SEPTEMBRE 2023- CLINIQUE NOA- REG 23/3595</t>
  </si>
  <si>
    <t>DHL EXPRESS OCTOBRE 2023- VEL'VISION- REG 080923</t>
  </si>
  <si>
    <t>AOUT2023</t>
  </si>
  <si>
    <t>DHL EXPRESS OCTOBRE 2023- EYE CARE- REG AOUT2023</t>
  </si>
  <si>
    <t>LOT 21531/329646</t>
  </si>
  <si>
    <t>DHL EXPRESS OCTOBRE 2023- PHARMACIE PRINCIPALE- REG LOT 21531/32964</t>
  </si>
  <si>
    <t>DHL EXPRESS OCTOBRE 2023- CENHOSOA- REG 002895</t>
  </si>
  <si>
    <t>FG-000062/23</t>
  </si>
  <si>
    <t>DHL EXPRESS OCTOBRE 2023- PHARMACIE PAYANTE CENHOSOA- REG FG-000062/2</t>
  </si>
  <si>
    <t>2023/0085-P-TLM</t>
  </si>
  <si>
    <t>DHL EXPRESS OCTOBRE 2023- 5 SENSES - REG 2023/0085-P-TLM</t>
  </si>
  <si>
    <t>010/AOUT/VO/AMBOD</t>
  </si>
  <si>
    <t>DHL EXPRESS OCTOBRE 2023- VEL'OPTIC- REG 010/AOUT/VO/AMBODIVONA/2023</t>
  </si>
  <si>
    <t xml:space="preserve">FAC/ 6 SEPTEMBRE </t>
  </si>
  <si>
    <t>DHL EXPRESS OCTOBRE 2023- DR RAFIDIARIMANA MIRAFINARITRA - REG FAC/ 6</t>
  </si>
  <si>
    <t>FAC/104348/2023</t>
  </si>
  <si>
    <t>DHL EXPRESS OCTOBRE 2023- PHARMACIE D'AMBOHIBAO- REG FAC/104348/2023</t>
  </si>
  <si>
    <t>001630/23Y</t>
  </si>
  <si>
    <t>DHL EXPRESS OCTOBRE 2023- PHARMACIE TSARASANDRY- REG 001630/23Y</t>
  </si>
  <si>
    <t>23092/23</t>
  </si>
  <si>
    <t>DHL EXPRESS OCTOBRE 2023- LE LUNETIER- REG 23092/23</t>
  </si>
  <si>
    <t>DHL EXPRESS OCTOBRE 2023- CENHOSOA- REG 001450</t>
  </si>
  <si>
    <t>008/SEPT/VO/AMBOD</t>
  </si>
  <si>
    <t>DHL EXPRESS OCTOBRE 2023- VEL'OPTIC- REG 008/SEPT/VO/AMBODIVONA/2023</t>
  </si>
  <si>
    <t>001/OCTOBRE/VV/20</t>
  </si>
  <si>
    <t>DHL EXPRESS OCTOBRE 2023- VELVISION- REG 001/OCTOBRE/VV/2023/LACITY</t>
  </si>
  <si>
    <t>FAC/060923</t>
  </si>
  <si>
    <t>DHL EXPRESS OCTOBRE 2023- CENTRE DE SANTE BE NY SOA- REG FAC/060923</t>
  </si>
  <si>
    <t>DHL EXPRESS OCTOBRE 2023- MADAME RAMEFISON ANJA - PAV 80- REG 728</t>
  </si>
  <si>
    <t>109418/PH/AV/2023</t>
  </si>
  <si>
    <t>DHL EXPRESS OCTOBRE 2023- PHARMACIE AVARADRANO- REG 109418/PH/AV/2023</t>
  </si>
  <si>
    <t>FAC/111257/2023</t>
  </si>
  <si>
    <t>DHL EXPRESS OCTOBRE 2023- PHARMACIE ANKADINDRATOMBO- REG FAC/111257/2</t>
  </si>
  <si>
    <t>VP.946700</t>
  </si>
  <si>
    <t>DHL EXPRESS OCTOBRE 2023- PHARMACIE GRACE- REG VP.946700</t>
  </si>
  <si>
    <t>15 156/275571</t>
  </si>
  <si>
    <t>DHL EXPRESS OCTOBRE 2023- PHARMACIE MANDROSOA- REG 15 156/275571</t>
  </si>
  <si>
    <t>DHL EXPRESS OCTOBRE 2023- PHARMACIE DU ROI- REG 242281</t>
  </si>
  <si>
    <t>DHL EXPRESS OCTOBRE 2023- PHARMACIE MANDROSOA- REG 275460</t>
  </si>
  <si>
    <t>DHL EXPRESS OCTOBRE 2023- EYE CARE- REG 2052</t>
  </si>
  <si>
    <t>108890/PH/AV/2023</t>
  </si>
  <si>
    <t>DHL EXPRESS OCTOBRE 2023- PHARMACIE AVARADRANO- REG 108890/PH/AV/2023</t>
  </si>
  <si>
    <t>DHL EXPRESS OCTOBRE 2023- SAINT JOSEPH MEDICAL SERVICES- REG 03/08/23</t>
  </si>
  <si>
    <t>0823/004</t>
  </si>
  <si>
    <t>DHL EXPRESS OCTOBRE 2023- CENTRE MEDICAL COLISEUM- REG 0823/004</t>
  </si>
  <si>
    <t>DHL EXPRESS OCTOBRE 2023- CENTRE TECHNIQUE BIOMEDICAL ANTANANARIVO- R</t>
  </si>
  <si>
    <t xml:space="preserve">DHL EXPRESS OCTOBRE 2023- MATERNITE DU CENTRE REFERENCE MEDICAL- REG </t>
  </si>
  <si>
    <t>CK BOA N°00013036 DHL EXPRESS-COTISATION ESIA 3E TRIMESTRE 2023</t>
  </si>
  <si>
    <t>DHL EXPRESS OCTOBRE 2023- CLINIQUE NATHAN- REG 6</t>
  </si>
  <si>
    <t>DHL EXPRESS NOVEMBRE 2023- VOLANAHARIMANITRA VOLANAHARI- RMBT 14292</t>
  </si>
  <si>
    <t>CEP 202 243 328</t>
  </si>
  <si>
    <t>DHL EXPRESS NOVEMBRE 2023- CLINIQUE ET MATERNITE SAINT FRANCOIS D'ASS</t>
  </si>
  <si>
    <t>0923/03</t>
  </si>
  <si>
    <t>DHL EXPRESS NOVEMBRE 2023- CENTRE MEDICAL COLISEUM- REG 0923/03</t>
  </si>
  <si>
    <t>DHL</t>
  </si>
  <si>
    <t>DHL EXPRESS NOVEMBRE 2023- VEL'VISION (OPHTALMO)- REG DHL</t>
  </si>
  <si>
    <t>23/4383</t>
  </si>
  <si>
    <t>DHL EXPRESS NOVEMBRE 2023- CLINIQUE NOA- REG 23/4383</t>
  </si>
  <si>
    <t>23/491</t>
  </si>
  <si>
    <t>DHL EXPRESS NOVEMBRE 2023- SUD'OPTIC (OPHTALMO)- REG 23/491</t>
  </si>
  <si>
    <t>DHL EXPRESS NOVEMBRE 2023- RASAMOELINIAINA LINDA FAMENONTSOA- RMBT 15</t>
  </si>
  <si>
    <t>23/2953</t>
  </si>
  <si>
    <t>DHL EXPRESS NOVEMBRE 2023- CLINIQUE NOA- REG 23/2953</t>
  </si>
  <si>
    <t>23107/23</t>
  </si>
  <si>
    <t>DHL EXPRESS NOVEMBRE 2023- LE LUNETIER- REG 23107/23</t>
  </si>
  <si>
    <t>DHL EXPRESS NOVEMBRE 2023- LUXOPTICA- REG 330506</t>
  </si>
  <si>
    <t>DHL EXPRESS NOVEMBRE 2023- RANAIVO IONIMALALA- RMBT 15448</t>
  </si>
  <si>
    <t>FC374436</t>
  </si>
  <si>
    <t>DHL EXPRESS NOVEMBRE 2023- PHARMACIE METROPOLE- REG FC374436</t>
  </si>
  <si>
    <t>DHL EXPRESS NOVEMBRE 2023- PHARMACIE DU ROI- REG 243118</t>
  </si>
  <si>
    <t>AN23-02863/F</t>
  </si>
  <si>
    <t>DHL EXPRESS NOVEMBRE 2023- INSTITUT PASTEUR DE MADAGASCAR- REG AN23-0</t>
  </si>
  <si>
    <t>AA23-01365/F</t>
  </si>
  <si>
    <t>DHL EXPRESS NOVEMBRE 2023- INSTITUT PASTEUR DE MADAGASCAR- REG AA23-0</t>
  </si>
  <si>
    <t>10/23/004</t>
  </si>
  <si>
    <t>DHL EXPRESS NOVEMBRE 2023- VEL'OPTIC- REG 10/23/004</t>
  </si>
  <si>
    <t>002/OCTOBRE/VV/20</t>
  </si>
  <si>
    <t>DHL EXPRESS NOVEMBRE 2023- VELVISION- REG 002/OCTOBRE/VV/2023/LACITY</t>
  </si>
  <si>
    <t>DHL EXPRESS NOVEMBRE 2023- MARIE STOPES MADAGASCAR TANA- REG 354575</t>
  </si>
  <si>
    <t>MDR/OP/58183</t>
  </si>
  <si>
    <t>DHL EXPRESS NOVEMBRE 2023- CENTRE DE SANTE DR AGARWAL'S - REG MDR/OP/</t>
  </si>
  <si>
    <t>23/642</t>
  </si>
  <si>
    <t>DHL EXPRESS NOVEMBRE 2023- SUD OPTIC- REG 23/642</t>
  </si>
  <si>
    <t>109593/PH/AV/2023</t>
  </si>
  <si>
    <t>DHL EXPRESS NOVEMBRE 2023- PHARMACIE AVARADRANO- REG 109593/PH/AV/202</t>
  </si>
  <si>
    <t>23/5009</t>
  </si>
  <si>
    <t>DHL EXPRESS NOVEMBRE 2023- CLINIQUE NOA- REG 23/5009</t>
  </si>
  <si>
    <t>FAC/130803/2023</t>
  </si>
  <si>
    <t>DHL EXPRESS NOVEMBRE 2023- PHARMACIE ANKADINDRATOMBO- REG FAC/130803/</t>
  </si>
  <si>
    <t>DHL EXPRESS DECEMBRE 2023- LEUNG CHI YUEN MYRIA- RMBT 15540</t>
  </si>
  <si>
    <t>DHL EXPRESS DECEMBRE 2023- RAKOTONDRAVOAVY SANDRA- RMBT 15541</t>
  </si>
  <si>
    <t>DHL EXPRESS DECEMBRE 2023- RAZAFIMANANTSOA TIANA NIRINA- RMBT 15542</t>
  </si>
  <si>
    <t>DHL EXPRESS DÃ‰CEMBRE 2023- ORL AUDIOLOGY CLINIC AMBOHIBAO- REG 23062</t>
  </si>
  <si>
    <t>102/2023</t>
  </si>
  <si>
    <t>DHL EXPRESS DÃ‰CEMBRE 2023- DR RAJASPERA HANITRA- REG 102/2023</t>
  </si>
  <si>
    <t xml:space="preserve">DHL EXPRESS DÃ‰CEMBRE 2023- DR RAKOTONDRASOA TATAMO LANTOTIANA - REG </t>
  </si>
  <si>
    <t>MDR/OP/60123</t>
  </si>
  <si>
    <t>DHL EXPRESS DÃ‰CEMBRE 2023- CENTRE DE SANTE DR AGARWAL'S - REG MDR/OP</t>
  </si>
  <si>
    <t>DHL EXPRESS DECEMBRE 2023- RAZAFIMANANTSOA TIANA NIRINA- RMBT 15633</t>
  </si>
  <si>
    <t>DHL EXPRESS DECEMBRE 2023- RANDRIASOA MIALY LANNE LARISSA- RMBT 15634</t>
  </si>
  <si>
    <t>Virement reçu-COTISATION 3trimestre 2023-DHL EXPRESS</t>
  </si>
  <si>
    <t>Virement reçu-Cotisation-1-2TRIM-2023</t>
  </si>
  <si>
    <t>1131/23</t>
  </si>
  <si>
    <t>DHL EXPRESS JANVIER 2024- CLINIQUE MEDICO CHIRURGICALE IMAHO- REG 113</t>
  </si>
  <si>
    <t>14842/2965</t>
  </si>
  <si>
    <t>DHL EXPRESS JANVIER 2024- PHARMACIE DE L'AVENUE- REG 14842/2965</t>
  </si>
  <si>
    <t>DHL EXPRESS JANVIER 2024- PHARMACIE IVATO- REG 007128</t>
  </si>
  <si>
    <t>DHL EXPRESS JANVIER 2024- CENTRE TECHNIQUE BIOMEDICAL ANTANANARIVO- R</t>
  </si>
  <si>
    <t>01230/12F/23</t>
  </si>
  <si>
    <t>DHL EXPRESS JANVIER 2024- PHARMACIE ANKADIFOTSY- REG 01230/12F/23</t>
  </si>
  <si>
    <t>DHL EXPRESS JANVIER 2024- CENTRE MEDICAL AMBATOMENA- REG 202401004</t>
  </si>
  <si>
    <t>DHL EXPRESS JANVIER 2024- CENTRE DE SANTE BE NY SOA- REG 03/10/2023</t>
  </si>
  <si>
    <t>DHL EXPRESS JANVIER 2024- PHARMACIE MAHAVOKY- REG 03-12/23</t>
  </si>
  <si>
    <t>LOT/14689/702</t>
  </si>
  <si>
    <t>DHL EXPRESS JANVIER 2024- PHARMACIE COLISEUM- REG LOT/14689/702</t>
  </si>
  <si>
    <t>LOT/15318/276485</t>
  </si>
  <si>
    <t>DHL EXPRESS JANVIER 2024- PHARMACIE MANDROSOA- REG LOT/15318/276485</t>
  </si>
  <si>
    <t>DHL EXPRESS JANVIER 2024- PHARMACIE DU ROI- REG 244718</t>
  </si>
  <si>
    <t>P017/OCTOBRE/2023</t>
  </si>
  <si>
    <t>DHL EXPRESS JANVIER 2024- CLINIQUE MERE ENFANT ANTSAKAVIRO- REG P017/</t>
  </si>
  <si>
    <t>FAC/16/DECEMBRE/2</t>
  </si>
  <si>
    <t>DHL EXPRESS JANVIER 2024- ZOOM OPTIQUE- REG FAC/16/DECEMBRE/2023</t>
  </si>
  <si>
    <t>110067/PH/AV/2024</t>
  </si>
  <si>
    <t>DHL EXPRESS JANVIER 2024- PHARMACIE AVARADRANO- REG 110067/PH/AV/2024</t>
  </si>
  <si>
    <t>LOT15202/275661</t>
  </si>
  <si>
    <t>DHL EXPRESS JANVIER 2024- PHARMACIE MANDROSOA- REG LOT15202/275661</t>
  </si>
  <si>
    <t>LOT22115/334765</t>
  </si>
  <si>
    <t>DHL EXPRESS JANVIER 2024- PHARMACIE PRINCIPALE- REG LOT22115/334765</t>
  </si>
  <si>
    <t>1/ALFA/DEC/23</t>
  </si>
  <si>
    <t>DHL EXPRESS JANVIER 2024- CENTRE MEDICAL ALFA- REG 1/ALFA/DEC/23</t>
  </si>
  <si>
    <t>002127/23Y</t>
  </si>
  <si>
    <t>DHL EXPRESS JANVIER 2024- PHARMACIE TSARASANDRY- REG 002127/23Y</t>
  </si>
  <si>
    <t>VP.973137</t>
  </si>
  <si>
    <t>DHL EXPRESS JANVIER 2024- PHARMACIE GRACE- REG VP.973137</t>
  </si>
  <si>
    <t>DHL EXPRESS JANVIER 2024- PHARMACIE AMBOHIDRATRIMO- REG 271223</t>
  </si>
  <si>
    <t>0124/001</t>
  </si>
  <si>
    <t>DHL EXPRESS JANVIER 2024- CENTRE MEDICAL COLISEUM- REG 0124/001</t>
  </si>
  <si>
    <t>DHL EXPRESS JANVIER 2024- EYE CARE- REG 2347</t>
  </si>
  <si>
    <t>CK N° 00013053 du 31/01/2024-COTISATION ESIA DHL EXPRESS 4E TRIM 2023</t>
  </si>
  <si>
    <t>23/5597</t>
  </si>
  <si>
    <t>DHL EXPRESS FÃ‰VRIER 2024- CLINIQUE NOA- REG 23/5597</t>
  </si>
  <si>
    <t>FAC/050124</t>
  </si>
  <si>
    <t>DHL EXPRESS FÃ‰VRIER 2024- CENTRE DE SANTE BE NY SOA- REG FAC/050124</t>
  </si>
  <si>
    <t>DHL EXPRESS FÃ‰VRIER 2024- CABINET DENTAIRE NIRINA - REG 071123</t>
  </si>
  <si>
    <t>LOT22747341753</t>
  </si>
  <si>
    <t>DHL EXPRESS FÃ‰VRIER 2024- PHARMACIE PRINCIPALE- REG LOT22747341753</t>
  </si>
  <si>
    <t>LOT15369276650</t>
  </si>
  <si>
    <t>DHL EXPRESS FÃ‰VRIER 2024- PHARMACIE MANDROSOA- REG LOT15369276650</t>
  </si>
  <si>
    <t>164/24Y</t>
  </si>
  <si>
    <t>DHL EXPRESS FÃ‰VRIER 2024- PHARMACIE TSARASANDRY- REG 164/24Y</t>
  </si>
  <si>
    <t>LOT14726802</t>
  </si>
  <si>
    <t>DHL EXPRESS FÃ‰VRIER 2024- PHARMACIE COLISEUM- REG LOT14726802</t>
  </si>
  <si>
    <t>DHL EXPRESS FÃ‰VRIER 2024- MADAME RAMEFISON ANJA - PAV 80- REG 1017</t>
  </si>
  <si>
    <t>VP.983113</t>
  </si>
  <si>
    <t>DHL EXPRESS FÃ‰VRIER 2024- PHARMACIE GRACE- REG VP.983113</t>
  </si>
  <si>
    <t>DHL EXPRESS FÃ‰VRIER 2024- CENTRE MEDICAL AMBATOMENA- REG 202402004</t>
  </si>
  <si>
    <t>CEP202245037</t>
  </si>
  <si>
    <t>DHL EXPRESS FÃ‰VRIER 2024- CLINIQUE ET MATERNITE SAINT FRANCOIS D'ASS</t>
  </si>
  <si>
    <t>DHL EXPRESS FÃ‰VRIER 2024- MATERNITE DU CENTRE REFERENCE MEDICAL- REG</t>
  </si>
  <si>
    <t>004/DECEMBRE/VV/2</t>
  </si>
  <si>
    <t>DHL EXPRESS FÃ‰VRIER 2024- VELVISION- REG 004/DECEMBRE/VV/2023</t>
  </si>
  <si>
    <t>FAC/164780/2023</t>
  </si>
  <si>
    <t>DHL EXPRESS FÃ‰VRIER 2024- PHARMACIE ANKADINDRATOMBO- REG FAC/164780/</t>
  </si>
  <si>
    <t>FAC/3 JANVIER 202</t>
  </si>
  <si>
    <t>DHL EXPRESS FÃ‰VRIER 2024- DR RAFIDIARIMANA MIRAFINARITRA - REG FAC/3</t>
  </si>
  <si>
    <t>FAC/148597/2023</t>
  </si>
  <si>
    <t>DHL EXPRESS FÃ‰VRIER 2024- PHARMACIE D'AMBOHIBAO- REG FAC/148597/2023</t>
  </si>
  <si>
    <t>110034/PH/AV/2024</t>
  </si>
  <si>
    <t>DHL EXPRESS FÃ‰VRIER 2024- PHARMACIE AVARADRANO- REG 110034/PH/AV/202</t>
  </si>
  <si>
    <t>FAC/013370/2024</t>
  </si>
  <si>
    <t>DHL EXPRESS FÃ‰VRIER 2024- PHARMACIE ANKADINDRATOMBO- REG FAC/013370/</t>
  </si>
  <si>
    <t>6638/23</t>
  </si>
  <si>
    <t>DHL EXPRESS FÃ‰VRIER 2024- ZOOX OPTICA- REG 6638/23</t>
  </si>
  <si>
    <t>23/12/0619</t>
  </si>
  <si>
    <t>DHL EXPRESS FÃ‰VRIER 2024- CENTRE DE RADIO DIAGNOSTIQUE ET DE THERAPI</t>
  </si>
  <si>
    <t>176/ALH/2024</t>
  </si>
  <si>
    <t>DHL EXPRESS FÃ‰VRIER 2024- POLYCLINIQUE ILAFY- REG 176/ALH/2024</t>
  </si>
  <si>
    <t>DHL EXPRESS FÃ‰VRIER 2024- RAKOTONDRAVOAVY SANDRA- RMBT 17096</t>
  </si>
  <si>
    <t>DHL EXPRESS FÃ‰VRIER 2024- RAZAFIMAMONJY MIRANA- RMBT 17097</t>
  </si>
  <si>
    <t>DHL EXPRESS FÃ‰VRIER 2024- LE LUNETIER- REG 240019</t>
  </si>
  <si>
    <t>LOT/15255/275944</t>
  </si>
  <si>
    <t>DHL EXPRESS FÃ‰VRIER 2024- PHARMACIE MANDROSOA- REG LOT/15255/275944</t>
  </si>
  <si>
    <t>DHL EXPRESS FÃ‰VRIER 2024- CENTRE MEDICAL ALFA- REG JANVIER 2024</t>
  </si>
  <si>
    <t>FAC/000184/2024</t>
  </si>
  <si>
    <t>DHL EXPRESS FÃ‰VRIER 2024- PHARMACIE DE TANA- REG FAC/000184/2024</t>
  </si>
  <si>
    <t>CIS 20 223 901</t>
  </si>
  <si>
    <t>DHL EXPRESS FÃ‰VRIER 2024- LUXOPTICA- REG 331614</t>
  </si>
  <si>
    <t>FC384246</t>
  </si>
  <si>
    <t>DHL EXPRESS FÃ‰VRIER 2024- PHARMACIE METROPOLE- REG FC384246</t>
  </si>
  <si>
    <t>LOT22114/335557</t>
  </si>
  <si>
    <t>DHL EXPRESS FÃ‰VRIER 2024- PHARMACIE PRINCIPALE- REG LOT22114/335557</t>
  </si>
  <si>
    <t>DHL EXPRESS FÃ‰VRIER 2024- MARIE STOPES MADAGASCAR TANA- REG 018374</t>
  </si>
  <si>
    <t xml:space="preserve">DHL EXPRESS FÃ‰VRIER 2024- CENTRE TECHNIQUE BIOMEDICAL ANTANANARIVO- </t>
  </si>
  <si>
    <t>DHL EXPRESS FÃ‰VRIER 2024- DR RAZAFIMAHERY SONYA- REG 717</t>
  </si>
  <si>
    <t>DHL EXPRESS FÃ‰VRIER 2024- RAHARIMANANTSOA FANEVA- RMBT 17190</t>
  </si>
  <si>
    <t>AA23-02002/F</t>
  </si>
  <si>
    <t>DHL EXPRESS FÃ‰VRIER 2024- INSTITUT PASTEUR DE MADAGASCAR- REG AA23-0</t>
  </si>
  <si>
    <t>24/01/1111</t>
  </si>
  <si>
    <t>12/23/033BIS</t>
  </si>
  <si>
    <t>DHL EXPRESS FÃ‰VRIER 2024- VEL'OPTIC- REG 12/23/033BIS</t>
  </si>
  <si>
    <t>FAC/26 JANVIER 20</t>
  </si>
  <si>
    <t>DHL EXPRESS FÃ‰VRIER 2024- DR RAFIDIARIMANA MIRAFINARITRA - REG FAC/2</t>
  </si>
  <si>
    <t>DHL EXPRESS FÃ‰VRIER 2024- LUXOPTICA- REG 335033</t>
  </si>
  <si>
    <t>15771/C/EXT/2023</t>
  </si>
  <si>
    <t>DHL EXPRESS FÃ‰VRIER 2024- POLYCLINIQUE ILAFY- REG 15771/C/EXT/2023</t>
  </si>
  <si>
    <t>15420/276893</t>
  </si>
  <si>
    <t>DHL EXPRESS FÃ‰VRIER 2024- PHARMACIE MANDROSOA- REG 15420/276893</t>
  </si>
  <si>
    <t>002/FEVRIER/VV/20</t>
  </si>
  <si>
    <t>DHL EXPRESS FÃ‰VRIER 2024- VELVISION- REG 002/FEVRIER/VV/2024</t>
  </si>
  <si>
    <t>DHL EXPRESS MARS 2024- PHARMACIE IVATO- REG 007889</t>
  </si>
  <si>
    <t>DHL EXPRESS MARS 2024- DR RANDRIAMANANTENA DAVIDSON MARTIN- REG 28102</t>
  </si>
  <si>
    <t>DHL EXPRESS MARS 2024- MATERNITE DU CENTRE REFERENCE MEDICAL- REG 050</t>
  </si>
  <si>
    <t>Commission de Mouvements Mois de JUILLET 2025</t>
  </si>
  <si>
    <t>DHL EXPRESS MARS 2024- MARIE STOPES MADAGASCAR TANA- REG 018374</t>
  </si>
  <si>
    <t>Frais de Tenue de Compte Mois de JUILLET 2025</t>
  </si>
  <si>
    <t>2023/0161-P-TLM</t>
  </si>
  <si>
    <t>DHL EXPRESS MARS 2024- 5 SENSES - REG 2023/0161-P-TLM</t>
  </si>
  <si>
    <t>Frais DHL EXPRESS JUIN 2025- RANDRIAMANAMPISOA FALITIANA HAJA AINA- R</t>
  </si>
  <si>
    <t>CDA/22231</t>
  </si>
  <si>
    <t>DHL EXPRESS MARS 2024- POLYCLINIQUE ADVENTISTE SOAMANANDRARINY- REG C</t>
  </si>
  <si>
    <t>N/359239</t>
  </si>
  <si>
    <t>DHL EXPRESS MARS 2024- MARIE STOPES MADAGASCAR TANA- REG N/359239</t>
  </si>
  <si>
    <t>Frais DHL EXPRESS JUIN 2025- RAKOTOMANGA PAMELA- RMBT 24465</t>
  </si>
  <si>
    <t>DHL EXPRESS MARS 2024- PHARMACIE DU ROI- REG 245164</t>
  </si>
  <si>
    <t>Frais DHL EXPRESS JUILLET 2025- RANDRIAMANANJARA JACQUES- RMBT 24607</t>
  </si>
  <si>
    <t>DHL EXPRESS MARS 2024- RAZAFIMANANTSOA TIANA NIRINA- RMBT 17333</t>
  </si>
  <si>
    <t>FRAIS DHL EXPRESS DC 300625</t>
  </si>
  <si>
    <t>110355/PH/AV/2024</t>
  </si>
  <si>
    <t>DHL EXPRESS MARS 2024- PHARMACIE AVARADRANO- REG 110355/PH/AV/2024</t>
  </si>
  <si>
    <t>FRAIS DHL EXPRESS DC 300625 310725</t>
  </si>
  <si>
    <t>2023/0162-P-TLM</t>
  </si>
  <si>
    <t>DHL EXPRESS MARS 2024- 5 SENSES - REG 2023/0162-P-TLM</t>
  </si>
  <si>
    <t>Frais DHL EXPRESS JUILLET 2025- PHARMACIE PRINCIPALE- REG LOT226267 /</t>
  </si>
  <si>
    <t>FAC/024681/2024</t>
  </si>
  <si>
    <t>DHL EXPRESS MARS 2024- PHARMACIE ANKADINDRATOMBO- REG FAC/024681/2024</t>
  </si>
  <si>
    <t>AA24-00113/F</t>
  </si>
  <si>
    <t>DHL EXPRESS MARS 2024- INSTITUT PASTEUR DE MADAGASCAR- REG AA24-00113</t>
  </si>
  <si>
    <t>DHL EXPRESS MARS 2024- PHARMACIE DU ROI- REG 246457</t>
  </si>
  <si>
    <t>DHL EXPRESS MARS 2024- MADAME RAMEFISON AVOTRA- REG 01348</t>
  </si>
  <si>
    <t>DHL EXPRESS MARS 2024- DR RAZERISELINA TANTERAKA HASIMBOLA- REG 25/09</t>
  </si>
  <si>
    <t>007/FEVR/VO/2024</t>
  </si>
  <si>
    <t>DHL EXPRESS MARS 2024- VEL'OPTIC- REG 007/FEVR/VO/2024</t>
  </si>
  <si>
    <t>DHL EXPRESS MARS 2024- CARREFOUR MEDICAL- REG 13314</t>
  </si>
  <si>
    <t>DHL EXPRESS MARS 2024- CABINET DENTAIRE NIRINA - REG 010224</t>
  </si>
  <si>
    <t>LOT23063/345685</t>
  </si>
  <si>
    <t>DHL EXPRESS MARS 2024- PHARMACIE PRINCIPALE- REG LOT23063/345685</t>
  </si>
  <si>
    <t>FC387447</t>
  </si>
  <si>
    <t>DHL EXPRESS AVRIL 2024- PHARMACIE METROPOLE- REG FC387447</t>
  </si>
  <si>
    <t>01/24/007</t>
  </si>
  <si>
    <t>DHL EXPRESS AVRIL 2024- VEL'OPTIC- REG 01/24/007</t>
  </si>
  <si>
    <t>DHL EXPRESS AVRIL 2024- MATERNITE DU CENTRE REFERENCE MEDICAL- REG 04</t>
  </si>
  <si>
    <t>011/CMDDJR/01/24</t>
  </si>
  <si>
    <t>DHL EXPRESS AVRIL 2024- CLINIQUE MEDICO-CHIRURGICALE ANDRINDRA- REG 0</t>
  </si>
  <si>
    <t>0224/003</t>
  </si>
  <si>
    <t>DHL EXPRESS AVRIL 2024- CENTRE MEDICAL COLISEUM- REG 0224/003</t>
  </si>
  <si>
    <t>LOT147961162</t>
  </si>
  <si>
    <t>DHL EXPRESS AVRIL 2024- PHARMACIE COLISEUM- REG LOT147961162</t>
  </si>
  <si>
    <t>FAC/031999/2024</t>
  </si>
  <si>
    <t>DHL EXPRESS AVRIL 2024- PHARMACIE ANKADINDRATOMBO- REG FAC/031999/202</t>
  </si>
  <si>
    <t>LOT23153346737</t>
  </si>
  <si>
    <t>DHL EXPRESS AVRIL 2024- PHARMACIE PRINCIPALE- REG LOT23153346737</t>
  </si>
  <si>
    <t>DHL EXPRESS AVRIL 2024- RAZAFIMANANTSOA TIANA NIRINA- RMBT 17588</t>
  </si>
  <si>
    <t>AA23-01848/F</t>
  </si>
  <si>
    <t>DHL EXPRESS AVRIL 2024- INSTITUT PASTEUR DE MADAGASCAR- REG AA23-0184</t>
  </si>
  <si>
    <t>FEVRIER 2024</t>
  </si>
  <si>
    <t>DHL EXPRESS AVRIL 2024- PHARMACIE IVATO- REG FEVRIER 2024</t>
  </si>
  <si>
    <t>287/24Y</t>
  </si>
  <si>
    <t>DHL EXPRESS AVRIL 2024- PHARMACIE TSARASANDRY- REG 287/24Y</t>
  </si>
  <si>
    <t>DHL EXPRESS AVRIL 2024- CENTRE DE SANTE BE NY SOA- REG 280224</t>
  </si>
  <si>
    <t>FAC/DHL-032024-01</t>
  </si>
  <si>
    <t>DHL EXPRESS AVRIL 2024- PHARMACIE MAHATSARA IVATO- REG FAC/DHL-032024</t>
  </si>
  <si>
    <t>LOT15486/277314</t>
  </si>
  <si>
    <t>DHL EXPRESS AVRIL 2024- PHARMACIE MANDROSOA- REG LOT15486/277314</t>
  </si>
  <si>
    <t>LOT/22659/340108</t>
  </si>
  <si>
    <t>DHL EXPRESS AVRIL 2024- PHARMACIE PRINCIPALE- REG LOT/22659/340108</t>
  </si>
  <si>
    <t>FGC/000810/2023</t>
  </si>
  <si>
    <t>DHL EXPRESS AVRIL 2024- PHARMACIE SOA TOAMASINA- REG FGC/000810/2023</t>
  </si>
  <si>
    <t>G38/MARS/24</t>
  </si>
  <si>
    <t>DHL EXPRESS AVRIL 2024- CLINIQUE MERE ENFANT ANTSAKAVIRO- REG G38/MAR</t>
  </si>
  <si>
    <t>413/24Y</t>
  </si>
  <si>
    <t>DHL EXPRESS AVRIL 2024- PHARMACIE TSARASANDRY- REG 413/24Y</t>
  </si>
  <si>
    <t>DHL EXPRESS AVRIL 2024- PHARMACIE IVATO- REG MARS 2024</t>
  </si>
  <si>
    <t>CK N° 00013068du 16/04/2024-DHL EXPRESS-COTISATION 1ER TRIMESTRE 2024</t>
  </si>
  <si>
    <t>110 616/PH/AV/202</t>
  </si>
  <si>
    <t>DHL EXPRESS AVRIL 2024- PHARMACIE AVARADRANO- REG 110 616/PH/AV/2024</t>
  </si>
  <si>
    <t>LOT/15428/277036</t>
  </si>
  <si>
    <t>DHL EXPRESS AVRIL 2024- PHARMACIE MANDROSOA- REG LOT/15428/277036</t>
  </si>
  <si>
    <t>DHL EXPRESS AVRIL 2024- LUXOPTICA- REG 334195</t>
  </si>
  <si>
    <t>DHL EXPRESS AVRIL 2024- EYE CARE- REG 9608</t>
  </si>
  <si>
    <t>324/005</t>
  </si>
  <si>
    <t>DHL EXPRESS AVRIL 2024- CENTRE MEDICAL COLISEUM- REG 324/005</t>
  </si>
  <si>
    <t>DHL EXPRESS AVRIL 2024- RAHARIMANANTSOA FANEVA- RMBT 17785</t>
  </si>
  <si>
    <t>FG-000117/24</t>
  </si>
  <si>
    <t>DHL EXPRESS AVRIL 2024- PHARMACIE PAYANTE CENHOSOA- REG FG-000117/24</t>
  </si>
  <si>
    <t>DHL EXPRESS MAI 2024- PHARMACIE DU ROI- REG 245403</t>
  </si>
  <si>
    <t>5076/C/EXT/2024</t>
  </si>
  <si>
    <t>DHL EXPRESS MAI 2024- POLYCLINIQUE ILAFY- REG 5076/C/EXT/2024</t>
  </si>
  <si>
    <t>110 760/PH/AV/202</t>
  </si>
  <si>
    <t>DHL EXPRESS MAI 2024- PHARMACIE D'AVARADRANO- REG 110 760/PH/AV/2024</t>
  </si>
  <si>
    <t>COMPENSATION FOND-HONORAIRE-REG-2023-12-FA/2024-01-02-FA-DHL EXPRESS</t>
  </si>
  <si>
    <t>DHL EXPRESS MAI 2024- PHARMACIE DE LA PERGOLA- REG 165987</t>
  </si>
  <si>
    <t>635/24Y</t>
  </si>
  <si>
    <t>DHL EXPRESS MAI 2024- PHARMACIE TSARASANDRY- REG 635/24Y</t>
  </si>
  <si>
    <t>DHL EXPRESS MAI 2024- MADAME RAMEFISON AVOTRA- REG 01616</t>
  </si>
  <si>
    <t>DHL EXPRESS MAI 2024- MADAME RAMEFISON ANJA - PAV 80- REG 1306</t>
  </si>
  <si>
    <t>FC394690</t>
  </si>
  <si>
    <t>DHL EXPRESS MAI 2024- PHARMACIE METROPOLE- REG FC394690</t>
  </si>
  <si>
    <t>DHL EXPRESS MAI 2024- RASOAMIARAMANANA HARRY ANDRIANIAINA LANGUITA- R</t>
  </si>
  <si>
    <t>DHL EXPRESS JUIN 2024- RAHARIMANANTSOA FANEVA- RMBT 18140</t>
  </si>
  <si>
    <t>03/24/013 BIS</t>
  </si>
  <si>
    <t>DHL EXPRESS JUIN 2024- VEL'OPTIC- REG 03/24/013 BIS</t>
  </si>
  <si>
    <t>23389/347755</t>
  </si>
  <si>
    <t>DHL EXPRESS JUIN 2024- PHARMACIE PRINCIPALE- REG 23389/347755</t>
  </si>
  <si>
    <t>DHL EXPRESS JUIN 2024- MADAME RAMEFISON AVOTRA- REG 01703</t>
  </si>
  <si>
    <t>DHL EXPRESS JUIN 2024- MADAME RAMEFISON ANJA - PAV 80- REG 1427</t>
  </si>
  <si>
    <t>AA24-00447/F</t>
  </si>
  <si>
    <t>DHL EXPRESS JUIN 2024- INSTITUT PASTEUR DE MADAGASCAR- REG AA24-00447</t>
  </si>
  <si>
    <t>LOT14833/1284</t>
  </si>
  <si>
    <t>DHL EXPRESS JUIN 2024- PHARMACIE COLISEUM- REG LOT14833/1284</t>
  </si>
  <si>
    <t>DHL EXPRESS JUIN 2024- DR RAFIDIARIMANA MIRAFINARITRA - REG 181023</t>
  </si>
  <si>
    <t>DHL EXPRESS JUIN 2024- SAINT JOSEPH MEDICAL SERVICES- REG 10/2023</t>
  </si>
  <si>
    <t>DHL EXPRESS JUIN 2024- PHARMACIE DU ROI- REG 247582</t>
  </si>
  <si>
    <t>DHL EXPRESS JUIN 2024- MATERNITE DU CENTRE REFERENCE MEDICAL- REG 03/</t>
  </si>
  <si>
    <t>DHL EXPRESS JUIN 2024- DR RAZAFIMAHERY SONYA- REG 06/12/23</t>
  </si>
  <si>
    <t>COMPENSATION FOND-HONORAIRE-REG-2024-04-FA-DHL EXPRESS</t>
  </si>
  <si>
    <t>VP.1007385</t>
  </si>
  <si>
    <t>DHL EXPRESS JUIN 2024- PHARMACIE GRACE- REG VP.1007385</t>
  </si>
  <si>
    <t>FGC/000074/2024</t>
  </si>
  <si>
    <t>DHL EXPRESS JUIN 2024- PHARMACIE ANKADINDRATOMBO- REG FGC/000074/2024</t>
  </si>
  <si>
    <t>LOT15597/277810</t>
  </si>
  <si>
    <t>DHL EXPRESS JUIN 2024- PHARMACIE MANDROSOA- REG LOT15597/277810</t>
  </si>
  <si>
    <t>LOT23542/350008</t>
  </si>
  <si>
    <t>DHL EXPRESS JUIN 2024- PHARMACIE PRINCIPALE- REG LOT23542/350008</t>
  </si>
  <si>
    <t>DHL EXPRESS JUIN 2024- PHARMACIE HANITRA- REG 240655</t>
  </si>
  <si>
    <t>LOT14884/1481</t>
  </si>
  <si>
    <t>DHL EXPRESS JUIN 2024- PHARMACIE COLISEUM- REG LOT14884/1481</t>
  </si>
  <si>
    <t>DHL EXPRESS JUIN 2024- RASAMOELINIAINA LINDA FAMENONTSOA- RMBT 18276</t>
  </si>
  <si>
    <t>820/24Y</t>
  </si>
  <si>
    <t>DHL EXPRESS JUIN 2024- PHARMACIE TSARASANDRY- REG 820/24Y</t>
  </si>
  <si>
    <t>FAC/009281/2024</t>
  </si>
  <si>
    <t>DHL EXPRESS JUIN 2024- PHARMACIE DE L'HORIZON- REG FAC/009281/2024</t>
  </si>
  <si>
    <t>111019/PH/AV/2024</t>
  </si>
  <si>
    <t>DHL EXPRESS JUIN 2024- PHARMACIE AVARADRANO- REG 111019/PH/AV/2024</t>
  </si>
  <si>
    <t>FAC/088541/2024</t>
  </si>
  <si>
    <t>DHL EXPRESS JUIN 2024- PHARMACIE AMBODITSIRY- REG FAC/088541/2024</t>
  </si>
  <si>
    <t>DHL EXPRESS JUIN 2024- PHARMACIE AMBANIDIA - REG 212422</t>
  </si>
  <si>
    <t>VP-1015569</t>
  </si>
  <si>
    <t>DHL EXPRESS JUIN 2024- PHARMACIE GRACE- REG VP-1015569</t>
  </si>
  <si>
    <t>FAG48522</t>
  </si>
  <si>
    <t>DHL EXPRESS JUIN 2024- INSTITUT MEDICAL DE MADAGASCAR- REG FAG48522</t>
  </si>
  <si>
    <t>DHL EXPRESS JUILLET 2024- LA PETITE PHARMACIE- REG 273</t>
  </si>
  <si>
    <t>DHL EXPRESS AOUT 2025- VOLANAHARIMANITRA VOLANAHARI- RMBT 25083</t>
  </si>
  <si>
    <t>DHL EXPRESS JUILLET 2024- ZOOM OPTIQUE- REG 16202</t>
  </si>
  <si>
    <t>FAC/060627/2024</t>
  </si>
  <si>
    <t>DHL EXPRESS JUILLET 2024- PHARMACIE ANKADINDRATOMBO- REG FAC/060627/2</t>
  </si>
  <si>
    <t>24/05/0281</t>
  </si>
  <si>
    <t>DHL EXPRESS JUILLET 2024- CENTRE DE RADIO DIAGNOSTIQUE ET DE THERAPIE</t>
  </si>
  <si>
    <t>DHL EXPRESS JUILLET 2024- CENTRE MEDICAL AMBATOMENA- REG 202406016</t>
  </si>
  <si>
    <t>2373/ALH/2024</t>
  </si>
  <si>
    <t>DHL EXPRESS JUILLET 2024- POLYCLINIQUE ILAFY- REG 2373/ALH/2024</t>
  </si>
  <si>
    <t>524/003</t>
  </si>
  <si>
    <t>DHL EXPRESS JUILLET 2024- CENTRE MEDICAL COLISEUM- REG 524/003</t>
  </si>
  <si>
    <t>DHL EXPRESS JUILLET 2024- LUXOPTICA- REG 339576</t>
  </si>
  <si>
    <t>733/24Y</t>
  </si>
  <si>
    <t>DHL EXPRESS JUILLET 2024- PHARMACIE TSARASANDRY- REG 733/24Y</t>
  </si>
  <si>
    <t>109445/AV/2023</t>
  </si>
  <si>
    <t>DHL EXPRESS JUILLET 2024- PHARMACIE AVARADRANO- REG 109445/AV/2023</t>
  </si>
  <si>
    <t>126/2023</t>
  </si>
  <si>
    <t>DHL EXPRESS JUILLET 2024- DR RAJASPERA HANITRA- REG 126/2023</t>
  </si>
  <si>
    <t>002/NOVEMBRE/VV/2</t>
  </si>
  <si>
    <t>DHL EXPRESS JUILLET 2024- VELVISION- REG 002/NOVEMBRE/VV/2023/LACITY</t>
  </si>
  <si>
    <t>DHL EXPRESS JUILLET 2024- EYE CARE- REG 22 MAI 2024</t>
  </si>
  <si>
    <t>24/2709</t>
  </si>
  <si>
    <t>DHL EXPRESS JUILLET 2024- CLINIQUE NOA- REG 24/2709</t>
  </si>
  <si>
    <t>FC0002977</t>
  </si>
  <si>
    <t>DHL EXPRESS JUILLET 2024- PHARMACIE DU BAZAR BE - REG FC0002977</t>
  </si>
  <si>
    <t>10 /ALFA/MAI/24</t>
  </si>
  <si>
    <t>DHL EXPRESS JUILLET 2024- CENTRE MEDICAL ALFA- REG 10 /ALFA/MAI/24</t>
  </si>
  <si>
    <t>DHL EXPRESS JUILLET 2024- EYE CARE- REG 2647</t>
  </si>
  <si>
    <t>11189/PH/AV/2024</t>
  </si>
  <si>
    <t>DHL EXPRESS JUILLET 2024- PHARMACIE AVARADRANO- REG 11189/PH/AV/2024</t>
  </si>
  <si>
    <t>2024/0032-P-TLM</t>
  </si>
  <si>
    <t>DHL EXPRESS JUILLET 2024- 5 SENSES - REG 2024/0032-P-TLM</t>
  </si>
  <si>
    <t>LOT15648/278131</t>
  </si>
  <si>
    <t>DHL EXPRESS JUILLET 2024- PHARMACIE MANDROSOA- REG LOT15648/278131</t>
  </si>
  <si>
    <t>LOT14901/1782</t>
  </si>
  <si>
    <t>DHL EXPRESS JUILLET 2024- PHARMACIE COLISEUM- REG LOT14901/1782</t>
  </si>
  <si>
    <t>DHL EXPRESS JUILLET 2024- RANAIVO IONIMALALA- RMBT 18606</t>
  </si>
  <si>
    <t>DHL EXPRESS JUILLET 2024- LEUNG CHI YUEN MYRIA- RMBT 18638</t>
  </si>
  <si>
    <t>DHL EXPRESS JUILLET 2024- LEUNG CHI YUEN MYRIA- RMBT 18678</t>
  </si>
  <si>
    <t>COMPENSATION FOND-HONORAIRE-REG-2024-05-06-FA-DHL EXPRESS</t>
  </si>
  <si>
    <t>CK BOA N° 00013076 du 24/07/2024-COTISATION DHL EXPRESS 2EM TRIM 2024</t>
  </si>
  <si>
    <t>COMPENSATION FOND-HONORAIRE-REG-2024-07-FA-DHL EXPRESS</t>
  </si>
  <si>
    <t>LOT/23775/351504</t>
  </si>
  <si>
    <t>DHL EXPRESS AOÃ›T 2024- PHARMACIE PRINCIPALE- REG LOT/23775/351504</t>
  </si>
  <si>
    <t>DHL EXPRESS AOÃ›T 2024- PHARMACIE DU ROI- REG 249190</t>
  </si>
  <si>
    <t>FC400846</t>
  </si>
  <si>
    <t>DHL EXPRESS AOÃ›T 2024- PHARMACIE METROPOLE- REG FC400846</t>
  </si>
  <si>
    <t>DHL EXPRESS AOÃ›T 2024- ANDRIANOMENARISON JULES- RMBT 18744</t>
  </si>
  <si>
    <t>FAG55664</t>
  </si>
  <si>
    <t>DHL EXPRESS AOÃ›T 2024- INSTITUT MEDICAL DE MADAGASCAR- REG FAG55664</t>
  </si>
  <si>
    <t>DHL EXPRESS AOÃ›T 2024- RANAIVO IONIMALALA- RMBT 18844</t>
  </si>
  <si>
    <t>1016/24Y</t>
  </si>
  <si>
    <t>DHL EXPRESS AOÃ›T 2024- PHARMACIE TSARASANDRY- REG 1016/24Y</t>
  </si>
  <si>
    <t>FGC/000622/2024</t>
  </si>
  <si>
    <t>DHL EXPRESS AOÃ›T 2024- PHARMACIE SOAVINA- REG FGC/000622/2024</t>
  </si>
  <si>
    <t>FAC 03 MAI 2024</t>
  </si>
  <si>
    <t xml:space="preserve">DHL EXPRESS AOÃ›T 2024- CABINET DU DR ANDRIATSITOHAINA BAKOMALALA F. </t>
  </si>
  <si>
    <t>FC397432</t>
  </si>
  <si>
    <t>DHL EXPRESS AOÃ›T 2024- PHARMACIE METROPOLE- REG FC397432</t>
  </si>
  <si>
    <t>DHL EXPRESS AOÃ›T 2024- CENHOSOA- REG 00416</t>
  </si>
  <si>
    <t>DHL EXPRESS AOÃ›T 2024- PHARMACIE AVARADRANO- REG 108020/PH/AV/2023</t>
  </si>
  <si>
    <t>MDR/OP/68689</t>
  </si>
  <si>
    <t>DHL EXPRESS AOÃ›T 2024- CENTRE DE SANTE DR AGARWAL'S - REG MDR/OP/686</t>
  </si>
  <si>
    <t>916/24Y</t>
  </si>
  <si>
    <t>DHL EXPRESS AOÃ›T 2024- PHARMACIE TSARASANDRY- REG 916/24Y</t>
  </si>
  <si>
    <t>DHL EXPRESS AOÃ›T 2024- TOBIM-PITSABOANA LOTERANA AMBOHIBAO- REG 105</t>
  </si>
  <si>
    <t>AA24-00874/F</t>
  </si>
  <si>
    <t>DHL EXPRESS AOÃ›T 2024- INSTITUT PASTEUR DE MADAGASCAR- REG AA24-0087</t>
  </si>
  <si>
    <t>DHL EXPRESS AOÃ›T 2024- PHARMACIE HANITRA- REG 240763</t>
  </si>
  <si>
    <t>FC017521</t>
  </si>
  <si>
    <t>DHL EXPRESS AOÃ›T 2024- PHARMACIE DE LA DIGUE- REG FC017521</t>
  </si>
  <si>
    <t>DHL EXPRESS AOÃ›T 2024- LUXOPTICA- REG 339519</t>
  </si>
  <si>
    <t>AA24-00209/F</t>
  </si>
  <si>
    <t>DHL EXPRESS AOÃ›T 2024- INSTITUT PASTEUR DE MADAGASCAR- REG AA24-0020</t>
  </si>
  <si>
    <t>DHL EXPRESS AOÃ›T 2024- PHARMACIE HANITRA- REG 240924</t>
  </si>
  <si>
    <t>DHL EXPRESS AOÃ›T 2024- PHARMACIE DU ROI- REG 248426</t>
  </si>
  <si>
    <t>15.682/278171</t>
  </si>
  <si>
    <t>DHL EXPRESS AOÃ›T 2024- PHARMACIE MANDROSOA- REG 15.682/278171</t>
  </si>
  <si>
    <t>DHL EXPRESS AOÃ›T 2024- PHARMACIE MAHAVOKY- REG 08-07/24</t>
  </si>
  <si>
    <t>000843/24Y</t>
  </si>
  <si>
    <t>DHL EXPRESS AOÃ›T 2024- PHARMACIE TOKY- REG 000843/24Y</t>
  </si>
  <si>
    <t>15702/278342</t>
  </si>
  <si>
    <t>DHL EXPRESS AOÃ›T 2024- PHARMACIE MANDROSOA- REG 15702/278342</t>
  </si>
  <si>
    <t>DHL EXPRESS AOÃ›T 2024- RANAIVO IONIMALALA- RMBT 18979</t>
  </si>
  <si>
    <t>DHL EXPRESS AOÃ›T 2024- DR RAKOTONDRASOA TATAMO LANTOTIANA - REG 386</t>
  </si>
  <si>
    <t xml:space="preserve">FAC MOIS DE MARS </t>
  </si>
  <si>
    <t>DHL EXPRESS AOÃ›T 2024- EYE CARE- REG FAC MOIS DE MARS 2024</t>
  </si>
  <si>
    <t>DHL EXPRESS AOÃ›T 2024- LA PETITE PHARMACIE- REG 387</t>
  </si>
  <si>
    <t>LOT23967/353272</t>
  </si>
  <si>
    <t>DHL EXPRESS SEPTEMBRE 2024- PHARMACIE PRINCIPALE- REG LOT23967/353272</t>
  </si>
  <si>
    <t>15.719/278462</t>
  </si>
  <si>
    <t>DHL EXPRESS SEPTEMBRE 2024- PHARMACIE MANDROSOA- REG 15.719/278462</t>
  </si>
  <si>
    <t>FAC/087286/2024</t>
  </si>
  <si>
    <t>DHL EXPRESS SEPTEMBRE 2024- PHARMACIE D'AMBOHIBAO- REG FAC/087286/202</t>
  </si>
  <si>
    <t>1193/24Y</t>
  </si>
  <si>
    <t>DHL EXPRESS SEPTEMBRE 2024- PHARMACIE TSARASANDRY- REG 1193/24Y</t>
  </si>
  <si>
    <t>009/JUILLET/VV/20</t>
  </si>
  <si>
    <t>DHL EXPRESS SEPTEMBRE 2024- VELVISION- REG 009/JUILLET/VV/2024/LACITY</t>
  </si>
  <si>
    <t>DHL EXPRESS SEPTEMBRE 2024- RANAIVO IONIMALALA- RMBT 19171</t>
  </si>
  <si>
    <t>FAC/088637/2024</t>
  </si>
  <si>
    <t>DHL EXPRESS SEPTEMBRE 2024- PHARMACIE ANKADINDRATOMBO- REG FAC/088637</t>
  </si>
  <si>
    <t>DHL EXPRESS SEPTEMBRE 2024- PHARMACIE DU ROI- REG 249824</t>
  </si>
  <si>
    <t>DHL EXPRESS SEPTEMBRE 2024- PHARMACIE LAHADY- REG 3723</t>
  </si>
  <si>
    <t>FC017878</t>
  </si>
  <si>
    <t>DHL EXPRESS SEPTEMBRE 2024- PHARMACIE DE LA DIGUE- REG FC017878</t>
  </si>
  <si>
    <t>FAC/0252/028/2024</t>
  </si>
  <si>
    <t>DHL EXPRESS SEPTEMBRE 2024- PHARMACIE HASIMBOLA- REG FAC/0252/028/202</t>
  </si>
  <si>
    <t>DHL EXPRESS SEPTEMBRE 2024- RAZAFIMANANTSOA TIANA NIRINA- RMBT 19217</t>
  </si>
  <si>
    <t>624/009</t>
  </si>
  <si>
    <t>DHL EXPRESS SEPTEMBRE 2024- CENTRE MEDICAL COLISEUM- REG 624/009</t>
  </si>
  <si>
    <t>DHL EXPRESS SEPTEMBRE 2024- DR RANDRIANANTOANINA NIRINA BARBE DANIEL-</t>
  </si>
  <si>
    <t>2024/178</t>
  </si>
  <si>
    <t>DHL EXPRESS SEPTEMBRE 2024- SP VISION- REG 2024/178</t>
  </si>
  <si>
    <t>DHL EXPRESS SEPTEMBRE 2024- DR RAFIDIARIMANA MIRAFINARITRA - REG 10 J</t>
  </si>
  <si>
    <t>14937/1854</t>
  </si>
  <si>
    <t>DHL EXPRESS SEPTEMBRE 2024- PHARMACIE COLISEUM- REG 14937/1854</t>
  </si>
  <si>
    <t>DHL EXPRESS SEPTEMBRE 2024- CABINET NOOR- REG 38366</t>
  </si>
  <si>
    <t>DHL EXPRESS SEPTEMBRE 2024- EYE CARE- REG 2618</t>
  </si>
  <si>
    <t>24/3090</t>
  </si>
  <si>
    <t>DHL EXPRESS SEPTEMBRE 2024- CLINIQUE NOA- REG 24/3090</t>
  </si>
  <si>
    <t>FAC/015672/2024</t>
  </si>
  <si>
    <t>DHL EXPRESS SEPTEMBRE 2024- PHARMACIE DE LA CROIX DU SUD- REG FAC/015</t>
  </si>
  <si>
    <t>FAC/066691/2024</t>
  </si>
  <si>
    <t>DHL EXPRESS SEPTEMBRE 2024- PHARMACIE D'AMBOHIBAO- REG FAC/066691/202</t>
  </si>
  <si>
    <t>AA24-00998/F</t>
  </si>
  <si>
    <t>DHL EXPRESS SEPTEMBRE 2024- INSTITUT PASTEUR DE MADAGASCAR- REG AA24-</t>
  </si>
  <si>
    <t>1311/24Y</t>
  </si>
  <si>
    <t>DHL EXPRESS SEPTEMBRE 2024- PHARMACIE TSARASANDRY- REG 1311/24Y</t>
  </si>
  <si>
    <t>FGC/000613/2024</t>
  </si>
  <si>
    <t>DHL EXPRESS SEPTEMBRE 2024- PHARMACIE SOA TOAMASINA- REG FGC/000613/2</t>
  </si>
  <si>
    <t>DHL EXPRESS SEPTEMBRE 2024- PHARMACIE DE L'AVENUE- REG 4749</t>
  </si>
  <si>
    <t>DHL EXPRESS SEPTEMBRE 2024- PHARMACIE DU ROI- REG 250469</t>
  </si>
  <si>
    <t>DHL EXPRESS SEPTEMBRE 2024- CENTRE MEDICAL AMBATOMENA- REG 202409005</t>
  </si>
  <si>
    <t>111394/PH/AV/2024</t>
  </si>
  <si>
    <t>DHL EXPRESS SEPTEMBRE 2024- PHARMACIE AVARADRANO- REG 111394/PH/AV/20</t>
  </si>
  <si>
    <t>VP-1031942</t>
  </si>
  <si>
    <t>DHL EXPRESS OCTOBRE 2024- PHARMACIE GRACE- REG VP-1031942</t>
  </si>
  <si>
    <t>FGC/000148/2024</t>
  </si>
  <si>
    <t>DHL EXPRESS OCTOBRE 2024- PHARMACIE D'ANKADINDRATOMBO- REG FGC/000148</t>
  </si>
  <si>
    <t>DHL EXPRESS OCTOBRE 2024- PHARMACIE HANITRA- REG 241075</t>
  </si>
  <si>
    <t>FRAIS DHL EXPRESS DC 190924 110924 050924</t>
  </si>
  <si>
    <t>FRAIS DHL EXPRESS DC 040924 100924 120924</t>
  </si>
  <si>
    <t>Frais DHL EXPRESS SEPTEMBRE 2024- PHARMACIE LAHADY- REG 3723</t>
  </si>
  <si>
    <t>AA24-00751/F</t>
  </si>
  <si>
    <t>DHL EXPRESS OCTOBRE 2024- INSTITUT PASTEUR DE MADAGASCAR- REG AA24-00</t>
  </si>
  <si>
    <t>DHL EXPRESS OCTOBRE 2024- PHARMACIE MANDROSOA- REG 15728278608</t>
  </si>
  <si>
    <t>FC/092519/2024</t>
  </si>
  <si>
    <t>DHL EXPRESS OCTOBRE 2024- PHARMACIE SOAVINA- REG FC/092519/2024</t>
  </si>
  <si>
    <t>DHL EXPRESS OCTOBRE 2024- LEUNG CHI YUEN MYRIA- RMBT 19490</t>
  </si>
  <si>
    <t>LOT/24/165/355648</t>
  </si>
  <si>
    <t>DHL EXPRESS OCTOBRE 2024- PHARMACIE PRINCIPALE- REG LOT/24/165/355648</t>
  </si>
  <si>
    <t>DHL EXPRESS OCTOBRE 2024- RAMAMONJISOA LOVA- RMBT 20606</t>
  </si>
  <si>
    <t>29 AOUT  2024</t>
  </si>
  <si>
    <t xml:space="preserve">DHL EXPRESS OCTOBRE 2024- SAINT JOSEPH MEDICAL SERVICES- REG 29 AOUT </t>
  </si>
  <si>
    <t>FAC/27/05/24</t>
  </si>
  <si>
    <t xml:space="preserve">DHL EXPRESS OCTOBRE 2024- MATERNITE DU CENTRE REFERENCE MEDICAL- REG </t>
  </si>
  <si>
    <t>DHL EXPRESS OCTOBRE 2024- CENTRE REFERENCE MEDICALE- REG 03537</t>
  </si>
  <si>
    <t>DHL EXPRESS OCTOBRE 2024- DR DAVIDSON MARTIN RANDRIAMANANTENA- REG 26</t>
  </si>
  <si>
    <t>DHL EXPRESS OCTOBRE 2024- ZOOM OPTIQUE- REG 16505</t>
  </si>
  <si>
    <t>VP-1042541</t>
  </si>
  <si>
    <t>DHL EXPRESS OCTOBRE 2024- PHARMACIE GRACE- REG VP-1042541</t>
  </si>
  <si>
    <t>FAC/21/07/24</t>
  </si>
  <si>
    <t>AA24-01108/F</t>
  </si>
  <si>
    <t>DHL EXPRESS OCTOBRE 2024- INSTITUT PASTEUR DE MADAGASCAR- REG AA24-01</t>
  </si>
  <si>
    <t>Frais DHL EXPRESS OCTOBRE 2024- LEUNG CHI YUEN MYRIA- RMBT 19490</t>
  </si>
  <si>
    <t>Frais DHL EXPRESS OCTOBRE 2024- PHARMACIE PRINCIPALE- REG LOT/24/165/</t>
  </si>
  <si>
    <t>DHL EXPRESS OCTOBRE 2024- MADAME RAMEFISON ANJA - PAV 80- REG 1763</t>
  </si>
  <si>
    <t>DHL EXPRESS OCTOBRE 2024- RAKOTONDRAMIARINA RABEDAORO- RMBT 20642</t>
  </si>
  <si>
    <t>Frais DHL EXPRESS OCTOBRE 2024- MATERNITE DU CENTRE REFERENCE MEDICAL</t>
  </si>
  <si>
    <t>FRAIS DHL EXPRESS DC 031024</t>
  </si>
  <si>
    <t>FRAIS DHL EXPRESS DC 071024</t>
  </si>
  <si>
    <t>Frais DHL EXPRESS OCTOBRE 2024- RAMAMONJISOA LOVA- RMBT 20606</t>
  </si>
  <si>
    <t>CK BOA N° 00013090 du 24/10/2024-COTISATION DHL EXPRESS 3EM TRIM 2024</t>
  </si>
  <si>
    <t>COMPENSATION FOND-HONORAIRE-REG-2024-08-09-10-FA-DHL EXPRESS</t>
  </si>
  <si>
    <t>FRAIS DE TENUE DE COMPTE MOIS D'OCTOBRE 2024</t>
  </si>
  <si>
    <t>COMMISSION DE MOUVEMENT MOIS D'OCTOBRE 2024</t>
  </si>
  <si>
    <t>DHL EXPRESS NOVEMBRE 2024- RASOAMIARAMANANA HARRY ANDRIANIAINA LANGUI</t>
  </si>
  <si>
    <t>DHL EXPRESS AOUT 2025- RAKOTOMANGA PAMELA- RMBT 25115</t>
  </si>
  <si>
    <t>DHL EXPRESS NOVEMBRE 2024- RAKOTONDRAVOAVY SANDRA- RMBT 20929</t>
  </si>
  <si>
    <t>Frais RMBT DHL DC 041024</t>
  </si>
  <si>
    <t>AA24-01276/F</t>
  </si>
  <si>
    <t>DHL EXPRESS NOVEMBRE 2024- INSTITUT PASTEUR DE MADAGASCAR- REG AA24-0</t>
  </si>
  <si>
    <t>DHL EXPRESS NOVEMBRE 2024- LUXOPTICA- REG 343098</t>
  </si>
  <si>
    <t>111566/PH/AV/2024</t>
  </si>
  <si>
    <t>DHL EXPRESS NOVEMBRE 2024- PHARMACIE D'AVARADRANO- REG 111566/PH/AV/2</t>
  </si>
  <si>
    <t>FC409986</t>
  </si>
  <si>
    <t>DHL EXPRESS NOVEMBRE 2024- PHARMACIE METROPOLE- REG FC409986</t>
  </si>
  <si>
    <t>24/07/0170</t>
  </si>
  <si>
    <t>DHL EXPRESS NOVEMBRE 2024- CENTRE DE RADIO DIAGNOSTIQUE ET DE THERAPI</t>
  </si>
  <si>
    <t>Frais REG DHL DC 021024</t>
  </si>
  <si>
    <t>FRAIS REG DHL DC 101024 011024</t>
  </si>
  <si>
    <t>DHL EXPRESS NOVEMBRE 2024- DR DAVIDSON MARTIN RANDRIAMANANTENA- REG 0</t>
  </si>
  <si>
    <t>AA24-013336/F</t>
  </si>
  <si>
    <t>24/09/0271</t>
  </si>
  <si>
    <t>FAC/035/250/2024</t>
  </si>
  <si>
    <t>DHL EXPRESS NOVEMBRE 2024- PHARMACIE HASIMBOLA- REG FAC/035/250/2024</t>
  </si>
  <si>
    <t>116/24</t>
  </si>
  <si>
    <t>DHL EXPRESS NOVEMBRE 2024- DR RAJASPERA HANITRA- REG 116/24</t>
  </si>
  <si>
    <t>111792/PH/AV/2024</t>
  </si>
  <si>
    <t>DHL EXPRESS NOVEMBRE 2024- PHARMACIE D'AVARADRANO- REG 111792/PH/AV/2</t>
  </si>
  <si>
    <t>2024-09042</t>
  </si>
  <si>
    <t>DHL EXPRESS NOVEMBRE 2024- DR TOTOLEHIBE AIME NICOLAS - REG 2024-0904</t>
  </si>
  <si>
    <t>824/0012</t>
  </si>
  <si>
    <t>DHL EXPRESS NOVEMBRE 2024- CENTRE MEDICAL COLISEUM- REG 824/0012</t>
  </si>
  <si>
    <t>FAC/022787/2024</t>
  </si>
  <si>
    <t>DHL EXPRESS NOVEMBRE 2024- PHARMACIE CROIX DU SUD- REG FAC/022787/202</t>
  </si>
  <si>
    <t>0724/001</t>
  </si>
  <si>
    <t>DHL EXPRESS NOVEMBRE 2024- CENTRE MEDICAL COLISEUM- REG 0724/001</t>
  </si>
  <si>
    <t>DHL EXPRESS NOVEMBRE 2024- PHARMACIE HANITRA- REG 241369</t>
  </si>
  <si>
    <t>FRAIS REG DHL DC 061124 131124</t>
  </si>
  <si>
    <t>Frais DHL EXPRESS NOVEMBRE 2024- PHARMACIE D'AVARADRANO- REG 111792/P</t>
  </si>
  <si>
    <t xml:space="preserve">Frais DHL EXPRESS NOVEMBRE 2024- INSTITUT PASTEUR DE MADAGASCAR- REG </t>
  </si>
  <si>
    <t>Frais DHL EXPRESS NOVEMBRE 2024- RAKOTONDRAVOAVY SANDRA- RMBT 20929</t>
  </si>
  <si>
    <t>Frais DHL EXPRESS NOVEMBRE 2024- CENTRE DE RADIO DIAGNOSTIQUE ET DE T</t>
  </si>
  <si>
    <t>LOT15800/279004</t>
  </si>
  <si>
    <t>DHL EXPRESS NOVEMBRE 2024- PHARMACIE MANDROSOA- REG LOT15800/279004</t>
  </si>
  <si>
    <t>AA24-01423/F</t>
  </si>
  <si>
    <t>LOT/15156/5833</t>
  </si>
  <si>
    <t>DHL EXPRESS NOVEMBRE 2024- PHARMACIE DE L'AVENUE- REG LOT/15156/5833</t>
  </si>
  <si>
    <t>FRAIS REG DHL DC 061124 201124</t>
  </si>
  <si>
    <t>FRAIS REG DHL DC 251124</t>
  </si>
  <si>
    <t>FRAIS REG DHL 111124</t>
  </si>
  <si>
    <t>Frais de Tenue de Compte Mois de NOVEMBRE 2024</t>
  </si>
  <si>
    <t>Commission de Mouvements Mois de NOVEMBRE 2024</t>
  </si>
  <si>
    <t xml:space="preserve">Frais DHL EXPRESS NOVEMBRE 2024- RASOAMIARAMANANA HARRY ANDRIANIAINA </t>
  </si>
  <si>
    <t>24110/24</t>
  </si>
  <si>
    <t>DHL EXPRESS DÃ‰CEMBRE 2024- LE LUNETIER- REG 24110/24</t>
  </si>
  <si>
    <t>15.827/279226</t>
  </si>
  <si>
    <t>DHL EXPRESS DÃ‰CEMBRE 2024- PHARMACIE MANDROSOA- REG 15.827/279226</t>
  </si>
  <si>
    <t>DHL EXPRESS DÃ‰CEMBRE 2024- DR RAKOTOHARINIVO HERY ZO M- REG 000305</t>
  </si>
  <si>
    <t>DHL EXPRESS DÃ‰CEMBRE 2024- CENTRE MEDICAL AMBATOMENA- REG 202410121</t>
  </si>
  <si>
    <t>FAC/024606/2024</t>
  </si>
  <si>
    <t>DHL EXPRESS DÃ‰CEMBRE 2024- PHARMACIE CROIX DU SUD- REG FAC/024606/20</t>
  </si>
  <si>
    <t>FAC/096197/2024</t>
  </si>
  <si>
    <t>DHL EXPRESS DECEMBRE 2024- PHARMACIE NY ANTSIKA- REG FAC/096197/2024</t>
  </si>
  <si>
    <t>FAC/019141/2024</t>
  </si>
  <si>
    <t>DHL EXPRESS DECEMBRE 2024- PHARMACIE DE L'HORIZON- REG FAC/019141/202</t>
  </si>
  <si>
    <t>DHL EXPRESS DÃ‰CEMBRE 2024- RAZAFIMAMONJY MIRANA- RMBT 21250</t>
  </si>
  <si>
    <t>DHL EXPRESS DÃ‰CEMBRE 2024- ANDRIANOMENARISON JULES- RMBT 21257</t>
  </si>
  <si>
    <t>Frais DHL EXPRESS DÃ‰CEMBRE 2024- RAZAFIMAMONJY MIRANA- RMBT 21250</t>
  </si>
  <si>
    <t>Frais DHL EXPRESS DÃ‰CEMBRE 2024- ANDRIANOMENARISON JULES- RMBT 21172</t>
  </si>
  <si>
    <t>Frais DHL EXPRESS DÃ‰CEMBRE 2024- ANDRIANOMENARISON JULES- RMBT 21257</t>
  </si>
  <si>
    <t>DHL EXPRESS DÃ‰CEMBRE 2024- ANDRIANOMENARISON JULES- RMBT 21172</t>
  </si>
  <si>
    <t>DHL EXPRESS DÃ‰CEMBRE 2024- RAVAOARIMINO ZOHARIMAHOLY RIMA- RMBT 2127</t>
  </si>
  <si>
    <t>DHL EXPRESS DÃ‰CEMBRE 2024- RAZAFIMANANTSOA TIANA NIRINA- RMBT 21272</t>
  </si>
  <si>
    <t>DHL EXPRESS DÃ‰CEMBRE 2024- PHARMACIE DU ROI- REG 252045</t>
  </si>
  <si>
    <t>24/08/0470</t>
  </si>
  <si>
    <t>DHL EXPRESS DÃ‰CEMBRE 2024- CENTRE DE RADIO DIAGNOSTIQUE ET DE THERAP</t>
  </si>
  <si>
    <t>DHL EXPRESS DECEMBRE 2024- EYE CARE (OPHTALMO)- REG 18052024</t>
  </si>
  <si>
    <t>1024/006</t>
  </si>
  <si>
    <t>DHL EXPRESS DÃ‰CEMBRE 2024- CENTRE MEDICAL COLISEUM- REG 1024/006</t>
  </si>
  <si>
    <t>AA24-01494/F</t>
  </si>
  <si>
    <t>DHL EXPRESS DÃ‰CEMBRE 2024- INSTITUT PASTEUR DE MADAGASCAR- REG AA24-</t>
  </si>
  <si>
    <t>FRAIS DHL EXPRESS DC 141124 281124</t>
  </si>
  <si>
    <t>FRAIS DHL EXPRESS DC 031224 071224</t>
  </si>
  <si>
    <t>FRAIS DHL EXPRESS DC 021224 051224 111224</t>
  </si>
  <si>
    <t>FRAIS DHL EXPRESS DC 021224</t>
  </si>
  <si>
    <t>Frais DHL EXPRESS DÃ‰CEMBRE 2024- INSTITUT PASTEUR DE MADAGASCAR- REG</t>
  </si>
  <si>
    <t>Frais DHL EXPRESS DÃ‰CEMBRE 2024- PHARMACIE CROIX DU SUD- REG FAC/024</t>
  </si>
  <si>
    <t>DHL EXPRESS DÃ‰CEMBRE 2024- RASOAMIARAMANANA HARRY ANDRIANIAINA LANGU</t>
  </si>
  <si>
    <t>DHL EXPRESS DÃ‰CEMBRE 2024- ANDRIANOMENARISON JULES- RMBT 21375</t>
  </si>
  <si>
    <t>24/11/0598</t>
  </si>
  <si>
    <t>FRAIS DHL EXPRESS DC 021224 (2)</t>
  </si>
  <si>
    <t>Frais DHL EXPRESS DÃ‰CEMBRE 2024- ANDRIANOMENARISON JULES- RMBT 21375</t>
  </si>
  <si>
    <t xml:space="preserve">Frais DHL EXPRESS DÃ‰CEMBRE 2024- CENTRE DE RADIO DIAGNOSTIQUE ET DE </t>
  </si>
  <si>
    <t>Frais de Tenue de Compte Mois de DECEMBRE 2024</t>
  </si>
  <si>
    <t>Commission de Mouvements Mois de DECEMBRE 2024</t>
  </si>
  <si>
    <t>0425/002</t>
  </si>
  <si>
    <t>DHL EXPRESS JUILLET 2025- CENTRE MEDICAL COLISEUM- REG 0425/002</t>
  </si>
  <si>
    <t>DHL EXPRESS JUILLET 2025- MADAME RAMEFISON ANJA - PAV 80- REG 2719</t>
  </si>
  <si>
    <t>DHL EXPRESS JUILLET 2025- MADAME RAMEFISON AVOTRA- REG 03012</t>
  </si>
  <si>
    <t>DHL EXPRESS JUILLET 2025- PHARMACIE HANITRA- REG 250779</t>
  </si>
  <si>
    <t>FC022460</t>
  </si>
  <si>
    <t>DHL EXPRESS AOUT 2025- PHARMACIE DE LA DIGUE- REG FC022460</t>
  </si>
  <si>
    <t>25/05/0975</t>
  </si>
  <si>
    <t>DHL EXPRESS JUILLET 2025- CENTRE DE RADIO DIAGNOSTIQUE ET DE THERAPIE</t>
  </si>
  <si>
    <t>DHL EXPRESS JUILLET 2025- CENTRE DE SANTE BE NY SOA- REG 05 MAI 2025</t>
  </si>
  <si>
    <t>25/1888</t>
  </si>
  <si>
    <t>DHL EXPRESS JUILLET 2025- CLINIQUE NOA- REG 25/1888</t>
  </si>
  <si>
    <t>FAC25-38073</t>
  </si>
  <si>
    <t>DHL EXPRESS JUILLET 2025- IMAGERIE INSTITUT MEDICAL DE MADAG- REG FAC</t>
  </si>
  <si>
    <t>AA25-00486/F</t>
  </si>
  <si>
    <t>DHL EXPRESS JUILLET 2025- INSTITUT PASTEUR DE MADAGASCAR- REG AA25-00</t>
  </si>
  <si>
    <t>019/MARS/VO/AMBOD</t>
  </si>
  <si>
    <t>DHL EXPRESS JUILLET 2025- VEL'OPTIC (OPHTALMO)- REG 019/MARS/VO/AMBOD</t>
  </si>
  <si>
    <t>005/AVRIL/VV/2025</t>
  </si>
  <si>
    <t>DHL EXPRESS JUILLET 2025- VEL'VISION (OPHTALMO)- REG 005/AVRIL/VV/202</t>
  </si>
  <si>
    <t>DHL EXPRESS JUILLET 2025- ZOOM OPTIQUE- REG 18506</t>
  </si>
  <si>
    <t>DHL EXPRESS AOUT 2025- PHARMACIE IVANDRY- REG 8433</t>
  </si>
  <si>
    <t>DHL EXPRESS AOUT 2025- PHARMACIE D'AMBOHIDRATRIMO- REG 03/06/2025</t>
  </si>
  <si>
    <t>FAC/012369/2025</t>
  </si>
  <si>
    <t>DHL EXPRESS AOUT 2025- PHARMACIE CROIX DU SUD- REG FAC/012369/2025</t>
  </si>
  <si>
    <t>DHL EXPRESS JUILLET 2025- LUXOPTICA- REG 352572</t>
  </si>
  <si>
    <t>DHL EXPRESS JUILLET 2025- CENTRE MEDICAL AMBATOMENA- REG 202505115</t>
  </si>
  <si>
    <t>05/25/051</t>
  </si>
  <si>
    <t>DHL EXPRESS AOUT 2025- OPTICITY- REG 05/25/051</t>
  </si>
  <si>
    <t>DHL EXPRESS AOUT 2025- PHARMACIE D'AMBODITSIRY- REG FGC/000426/2025</t>
  </si>
  <si>
    <t>DHL EXPRESS AOUT 2025- DR SONYA RAZAFIMAHERY- REG 826</t>
  </si>
  <si>
    <t>Commission de Mouvements Mois d'AOUT 2025</t>
  </si>
  <si>
    <t>Frais de Tenue de Compte Mois d'AOUT 2025</t>
  </si>
  <si>
    <t>FRAIS DHL EXPRESS DC 310725</t>
  </si>
  <si>
    <t>Frais DHL EXPRESS AOUT 2025- RAKOTOMANGA PAMELA- RMBT 25115</t>
  </si>
  <si>
    <t>Frais DHL EXPRESS JUILLET 2025- CENTRE MEDICAL AMBATOMENA- REG 202505</t>
  </si>
  <si>
    <t>2025-07-08-FA-EXP</t>
  </si>
  <si>
    <t>COMPENSATION FONDS HONORAIRES REG-2025-07-08-FA-EXPRESS</t>
  </si>
  <si>
    <t>FAC/000074/2025</t>
  </si>
  <si>
    <t>DHL EXPRESS SEPTEMBRE 2025- PHARMACIE D'ANKADINDRATOMBO- REG FAC/0000</t>
  </si>
  <si>
    <t>25/217</t>
  </si>
  <si>
    <t>DHL EXPRESS SEPTEMBRE 2025- SUD'OPTIC- REG 25/217</t>
  </si>
  <si>
    <t>DHL EXPRESS SEPTEMBRE 2025- RASAMOELINIAINA LINDA FAMENONTSOA- RMBT 2</t>
  </si>
  <si>
    <t xml:space="preserve">Frais DHL EXPRESS SEPTEMBRE 2025- RASAMOELINIAINA LINDA FAMENONTSOA- </t>
  </si>
  <si>
    <t>FRAIS DHL EXPRESS AOUT 2025- VOLANAHARIMANITRA VOLANAHARI- RMBT 25083</t>
  </si>
  <si>
    <t>DHL EXPRESS SEPTEMBRE 2025- PHARMACIE PRINCIPALE- REG 372193</t>
  </si>
  <si>
    <t>DHL EXPRESS SEPTEMBRE 2025- LE LUNETIER- REG 25085</t>
  </si>
  <si>
    <t>AA25-00398/F</t>
  </si>
  <si>
    <t>DHL EXPRESS SEPTEMBRE 2025- INSTITUT PASTEUR DE MADAGASCAR- REG AA25-</t>
  </si>
  <si>
    <t>DHL EXPRESS SEPTEMBRE 2025- SAINT JOSEPH MEDICAL SERVICES- REG 02-06-</t>
  </si>
  <si>
    <t>Commissions de Plus Haut Découvert</t>
  </si>
  <si>
    <t>Commissions de Mouvements Mois de SEPTEMBRE 2025</t>
  </si>
  <si>
    <t>Frais de Tenue de Compte Mois de SEPTEMBRE 2025</t>
  </si>
  <si>
    <t>Interets Débiteur</t>
  </si>
  <si>
    <t>FRAIS DHL EXPRESS DC 310725 310825</t>
  </si>
  <si>
    <t>FRAIS DHL EXPRESS DC 310825</t>
  </si>
  <si>
    <t>FRAIS DHL EXPRESS DC 300925</t>
  </si>
  <si>
    <t>Frais DHL EXPRESS AOUT 2025- DR SONYA RAZAFIMAHERY- REG 826</t>
  </si>
  <si>
    <t>DHL EXPRESS SEPTEMBRE 2025- EYE CARE (OPHTALMO)- REG 18/06/25</t>
  </si>
  <si>
    <t>DHL EXPRESS OCTOBRE 2025- RAKOTOMANGA PAMELA- RMBT 25965</t>
  </si>
  <si>
    <t>Frais DHL EXPRESS OCTOBRE 2025- RAKOTOMANGA PAMELA- RMBT 25965</t>
  </si>
  <si>
    <t>0425/001</t>
  </si>
  <si>
    <t>DHL EXPRESS OCTOBRE 2025- CENTRE MEDICAL COLISEUM- REG 0425/001</t>
  </si>
  <si>
    <t>322_P97237_031025</t>
  </si>
  <si>
    <t>DHL EXPRESS OCTOBRE 2025- PHARMACIE MANDROSOA- REG 322_P97237_031025</t>
  </si>
  <si>
    <t>CK N°00013114 du 30/10/2025-COTISATION ESIA DHL EXPRESS 2EM TRIM 2025</t>
  </si>
  <si>
    <t>Frais DHL EXPRESS DECEMBRE 2024- RAZAFIMANANTSOA TIANA NIRINA- RMBT 2</t>
  </si>
  <si>
    <t>Lettrage-2025-AP-1TRIM-DHL EXPRESS</t>
  </si>
  <si>
    <t>2025-AP-2TRIM DHL EXPRESS</t>
  </si>
  <si>
    <t>2025-AP-3TRIM-DHL</t>
  </si>
  <si>
    <t>2025-AP-3TRIM-DHL EXPRESS</t>
  </si>
  <si>
    <t>Frais DHL EXPRESS DÃ‰CEMBRE 2024- RAVAOARIMINO ZOHARIMAHOLY RIMA- RMB</t>
  </si>
  <si>
    <t xml:space="preserve">Frais DHL EXPRESS DÃ‰CEMBRE 2024- RAZAFIMANANTSOA TIANA NIRINA- RMBT </t>
  </si>
  <si>
    <t>Frais DHL EXPRESS DÃ‰CEMBRE 2024- RASOAMIARAMANANA HARRY ANDRIANIAINA</t>
  </si>
  <si>
    <t>2025-4TRIM-AP-DHL</t>
  </si>
  <si>
    <t>2025-4TRIM-AP-DHL EXPRESS</t>
  </si>
  <si>
    <t>Lettrage 2025-AP-4TRIM-DHL</t>
  </si>
  <si>
    <t>DHL EXPRESS 2024-12-FA</t>
  </si>
  <si>
    <t>VIA ASSURANCE à encaisser</t>
  </si>
  <si>
    <t>VIA ASSURANCE</t>
  </si>
  <si>
    <t>RAHARIVOLA BRUNO à encaisser</t>
  </si>
  <si>
    <t>RAHARIVOLA BRUNO</t>
  </si>
  <si>
    <t>Loyer de bureau</t>
  </si>
  <si>
    <t>Autres Fournitures</t>
  </si>
  <si>
    <t>Capital social</t>
  </si>
  <si>
    <t>Report à nouveau (créditeur)</t>
  </si>
  <si>
    <t>Résultat exercice (bénéfice)</t>
  </si>
  <si>
    <t>Résultat exercice (perte)</t>
  </si>
  <si>
    <t>Mobilier de bureau</t>
  </si>
  <si>
    <t>Installation technique</t>
  </si>
  <si>
    <t>Matériel Outillage</t>
  </si>
  <si>
    <t>Immobilisation incorporelle en cour</t>
  </si>
  <si>
    <t>Dépots et cautionnements verés-CHU</t>
  </si>
  <si>
    <t>Amortissement logiciel</t>
  </si>
  <si>
    <t>Amortissement mobilier de bureau</t>
  </si>
  <si>
    <t>Amortissement installation techniqu</t>
  </si>
  <si>
    <t>Amortissement matériel et outillage</t>
  </si>
  <si>
    <t>Amortissement matériel informatique</t>
  </si>
  <si>
    <t>facture non parvenue</t>
  </si>
  <si>
    <t>avances fournisseur local</t>
  </si>
  <si>
    <t>TELMA</t>
  </si>
  <si>
    <t>Cl. NACRE DIRECTIONS</t>
  </si>
  <si>
    <t>Facture à établir</t>
  </si>
  <si>
    <t>Personnel, Congés à payer</t>
  </si>
  <si>
    <t>ESIA</t>
  </si>
  <si>
    <t>Organisme retraite, SAHAM</t>
  </si>
  <si>
    <t>Etat, IR</t>
  </si>
  <si>
    <t>Etat, Acompte sur IR</t>
  </si>
  <si>
    <t>Etat, IRI Fournisseur ETRANGER</t>
  </si>
  <si>
    <t>Etat, TVA en attente</t>
  </si>
  <si>
    <t>TELMA SA à encaisser</t>
  </si>
  <si>
    <t>STELLARIX à encaisser</t>
  </si>
  <si>
    <t>FONDATION AXIAN à encaisser</t>
  </si>
  <si>
    <t>TANJAKA FOOD à encaisser</t>
  </si>
  <si>
    <t>SMARTONE à encaisser</t>
  </si>
  <si>
    <t>SANLAMALLIANZ/PART PATIENT</t>
  </si>
  <si>
    <t>CEMENTIS/PART PATIENT</t>
  </si>
  <si>
    <t>DHL EXPRESS/PART PATIENT</t>
  </si>
  <si>
    <t>MGS/PART PATIENT</t>
  </si>
  <si>
    <t>PAMF/PART PATIENT</t>
  </si>
  <si>
    <t>TELMA SA/PART PATIENT</t>
  </si>
  <si>
    <t>TELMA MONEY/PART PATIENT</t>
  </si>
  <si>
    <t>JOVENA/PART PATIENT</t>
  </si>
  <si>
    <t>MCB/PART PATIENT</t>
  </si>
  <si>
    <t>EASYTECH/PART PATIENT</t>
  </si>
  <si>
    <t>GTALYS/PART PATIENT</t>
  </si>
  <si>
    <t>TALYS TAMBOHO PART PATIENT</t>
  </si>
  <si>
    <t>AXIANNSS/PART PATIENT</t>
  </si>
  <si>
    <t>TOM/PART PATIENT</t>
  </si>
  <si>
    <t>FIRSTIMMO/PART PATIENT</t>
  </si>
  <si>
    <t>JBU/PART PATIENT</t>
  </si>
  <si>
    <t>JBS/PART PATIENT</t>
  </si>
  <si>
    <t>LECOFRUIT/PART PATIENT</t>
  </si>
  <si>
    <t>OIM/PART PATIENT</t>
  </si>
  <si>
    <t>MADCOM/PART PATIENT</t>
  </si>
  <si>
    <t>EVIOSYS/PART PATIENT</t>
  </si>
  <si>
    <t>SMARTONE/PART PATIENT</t>
  </si>
  <si>
    <t>TALOUMIS/PART PATIENT</t>
  </si>
  <si>
    <t>NOUVELLE BRASSERIE DE MADAGASCAR</t>
  </si>
  <si>
    <t>DHL MGS</t>
  </si>
  <si>
    <t>EVASAN YAS</t>
  </si>
  <si>
    <t>TALYS COVID</t>
  </si>
  <si>
    <t>GREEN ENERGY SOLUTIONS SA</t>
  </si>
  <si>
    <t>SOCOTA AGRO INDUSTRIES</t>
  </si>
  <si>
    <t>Documentation et divers</t>
  </si>
  <si>
    <t>Frais de Mission intérieure</t>
  </si>
  <si>
    <t>Frais de formation personnel</t>
  </si>
  <si>
    <t>Gain de change</t>
  </si>
  <si>
    <t>Autres charges de personnel</t>
  </si>
  <si>
    <t>Frais de Mission extérieure</t>
  </si>
  <si>
    <t>AIGLE D'OR/PART PATIENT</t>
  </si>
  <si>
    <t>Etat, TVA déductible Intermittent</t>
  </si>
  <si>
    <t>Frais de déplacement - en ville</t>
  </si>
  <si>
    <t>Produit exceptionnel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</si>
</sst>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_A_r_-;\-* #,##0.00\ _A_r_-;_-* &quot;-&quot;??\ _A_r_-;_-@_-"/>
    <numFmt numFmtId="166" formatCode="dd\/mm\/yy"/>
    <numFmt numFmtId="167" formatCode="hh\:mm\:ss"/>
    <numFmt numFmtId="168" formatCode="#\ 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8"/>
      <color indexed="62"/>
      <name val="Cambria"/>
      <family val="2"/>
    </font>
    <font>
      <sz val="10"/>
      <color indexed="8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28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164" fontId="5" fillId="0" borderId="0" applyFill="0" applyBorder="0" applyAlignment="0" applyProtection="0"/>
    <xf numFmtId="0" fontId="6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164" fontId="0" fillId="3" borderId="0" xfId="1" applyFont="1" applyFill="1"/>
    <xf numFmtId="164" fontId="0" fillId="0" borderId="0" xfId="1" applyFont="1" applyFill="1"/>
    <xf numFmtId="164" fontId="0" fillId="3" borderId="0" xfId="0" applyNumberFormat="1" applyFill="1"/>
    <xf numFmtId="164" fontId="0" fillId="0" borderId="0" xfId="0" applyNumberFormat="1"/>
    <xf numFmtId="0" fontId="2" fillId="3" borderId="0" xfId="0" applyFont="1" applyFill="1"/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/>
    </xf>
    <xf numFmtId="4" fontId="0" fillId="3" borderId="0" xfId="0" applyNumberFormat="1" applyFill="1"/>
    <xf numFmtId="17" fontId="0" fillId="3" borderId="0" xfId="0" applyNumberFormat="1" applyFill="1"/>
    <xf numFmtId="164" fontId="0" fillId="2" borderId="0" xfId="0" applyNumberFormat="1" applyFill="1"/>
    <xf numFmtId="14" fontId="0" fillId="3" borderId="0" xfId="0" applyNumberFormat="1" applyFill="1"/>
    <xf numFmtId="164" fontId="0" fillId="3" borderId="0" xfId="1" applyFont="1" applyFill="1" applyBorder="1"/>
    <xf numFmtId="164" fontId="2" fillId="2" borderId="0" xfId="0" applyNumberFormat="1" applyFont="1" applyFill="1"/>
    <xf numFmtId="164" fontId="0" fillId="2" borderId="0" xfId="1" applyFont="1" applyFill="1"/>
    <xf numFmtId="0" fontId="0" fillId="3" borderId="0" xfId="0" applyFill="1" applyAlignment="1">
      <alignment horizontal="left"/>
    </xf>
    <xf numFmtId="14" fontId="0" fillId="0" borderId="0" xfId="0" applyNumberFormat="1"/>
    <xf numFmtId="43" fontId="2" fillId="0" borderId="0" xfId="0" applyNumberFormat="1" applyFont="1"/>
    <xf numFmtId="43" fontId="0" fillId="3" borderId="0" xfId="0" applyNumberFormat="1" applyFill="1"/>
    <xf numFmtId="43" fontId="0" fillId="0" borderId="0" xfId="9" applyFont="1" applyFill="1"/>
    <xf numFmtId="0" fontId="4" fillId="0" borderId="0" xfId="0" applyFont="1"/>
    <xf numFmtId="43" fontId="4" fillId="0" borderId="0" xfId="9" applyFont="1" applyFill="1"/>
    <xf numFmtId="164" fontId="0" fillId="3" borderId="0" xfId="1" applyFont="1" applyFill="1" applyAlignment="1">
      <alignment horizont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horizontal="right"/>
    </xf>
    <xf numFmtId="164" fontId="0" fillId="3" borderId="0" xfId="1" applyFont="1" applyFill="1" applyAlignment="1">
      <alignment horizontal="left"/>
    </xf>
    <xf numFmtId="4" fontId="2" fillId="3" borderId="0" xfId="0" applyNumberFormat="1" applyFont="1" applyFill="1"/>
    <xf numFmtId="164" fontId="1" fillId="3" borderId="0" xfId="1" applyFont="1" applyFill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5" fontId="0" fillId="0" borderId="0" xfId="0" applyNumberFormat="1"/>
    <xf numFmtId="3" fontId="0" fillId="0" borderId="0" xfId="0" applyNumberFormat="1"/>
    <xf numFmtId="164" fontId="0" fillId="0" borderId="0" xfId="1" applyFont="1"/>
    <xf numFmtId="165" fontId="0" fillId="3" borderId="0" xfId="0" applyNumberFormat="1" applyFill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49" fontId="3" fillId="0" borderId="0" xfId="0" applyNumberFormat="1" applyFont="1"/>
    <xf numFmtId="49" fontId="9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3" xfId="0" applyNumberFormat="1" applyFont="1" applyBorder="1"/>
    <xf numFmtId="166" fontId="3" fillId="0" borderId="0" xfId="0" applyNumberFormat="1" applyFont="1"/>
    <xf numFmtId="49" fontId="3" fillId="0" borderId="0" xfId="0" applyNumberFormat="1" applyFont="1" applyAlignment="1">
      <alignment horizontal="right"/>
    </xf>
    <xf numFmtId="167" fontId="3" fillId="0" borderId="0" xfId="0" applyNumberFormat="1" applyFont="1"/>
    <xf numFmtId="1" fontId="3" fillId="0" borderId="0" xfId="0" applyNumberFormat="1" applyFont="1" applyAlignment="1">
      <alignment horizontal="right"/>
    </xf>
    <xf numFmtId="0" fontId="0" fillId="0" borderId="9" xfId="0" applyBorder="1"/>
    <xf numFmtId="168" fontId="3" fillId="0" borderId="10" xfId="0" applyNumberFormat="1" applyFont="1" applyBorder="1" applyAlignment="1">
      <alignment horizontal="right"/>
    </xf>
    <xf numFmtId="0" fontId="0" fillId="0" borderId="10" xfId="0" applyBorder="1" applyAlignment="1">
      <alignment horizontal="right"/>
    </xf>
    <xf numFmtId="168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8" fillId="0" borderId="0" xfId="0" applyNumberFormat="1" applyFont="1" applyAlignment="1">
      <alignment horizontal="right"/>
    </xf>
    <xf numFmtId="168" fontId="8" fillId="0" borderId="10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3" fillId="0" borderId="9" xfId="0" applyFont="1" applyBorder="1"/>
    <xf numFmtId="49" fontId="8" fillId="0" borderId="3" xfId="0" applyNumberFormat="1" applyFont="1" applyBorder="1" applyAlignment="1">
      <alignment horizontal="center" wrapText="1"/>
    </xf>
    <xf numFmtId="0" fontId="0" fillId="0" borderId="4" xfId="0" applyBorder="1"/>
  </cellXfs>
  <cellStyles count="128">
    <cellStyle name="Milliers" xfId="1" builtinId="3"/>
    <cellStyle name="Milliers [0] 10" xfId="126" xr:uid="{E5E631CE-7A25-43F3-AD62-1D0EABA4CC7E}"/>
    <cellStyle name="Milliers [0] 11" xfId="127" xr:uid="{59D5B60A-7634-453A-A944-4918E620B44B}"/>
    <cellStyle name="Milliers [0] 2" xfId="118" xr:uid="{E089948E-CA65-4220-BB37-31CB266985EA}"/>
    <cellStyle name="Milliers [0] 3" xfId="119" xr:uid="{B4705DDE-5A9F-41CF-B325-26B2C032031C}"/>
    <cellStyle name="Milliers [0] 4" xfId="120" xr:uid="{223260B8-09CF-459E-A0D9-015BA6FD8B4B}"/>
    <cellStyle name="Milliers [0] 5" xfId="121" xr:uid="{CEB25BF3-EB32-451B-94D3-763F1D626D9E}"/>
    <cellStyle name="Milliers [0] 6" xfId="122" xr:uid="{4F992B71-8D32-4096-BB62-E1EDE90E5286}"/>
    <cellStyle name="Milliers [0] 7" xfId="123" xr:uid="{5E0717B0-ED68-4575-AAB9-8B39B2CBE0AF}"/>
    <cellStyle name="Milliers [0] 8" xfId="124" xr:uid="{ABD9FEF7-169E-44F5-9644-EF4490D774D5}"/>
    <cellStyle name="Milliers [0] 9" xfId="125" xr:uid="{5D110824-90D5-4729-B67A-BC9EEEFD0948}"/>
    <cellStyle name="Milliers 10" xfId="15" xr:uid="{00000000-0005-0000-0000-00003C000000}"/>
    <cellStyle name="Milliers 100" xfId="104" xr:uid="{00000000-0005-0000-0000-000095000000}"/>
    <cellStyle name="Milliers 101" xfId="105" xr:uid="{00000000-0005-0000-0000-000096000000}"/>
    <cellStyle name="Milliers 102" xfId="106" xr:uid="{00000000-0005-0000-0000-000097000000}"/>
    <cellStyle name="Milliers 103" xfId="107" xr:uid="{00000000-0005-0000-0000-000098000000}"/>
    <cellStyle name="Milliers 104" xfId="108" xr:uid="{00000000-0005-0000-0000-000099000000}"/>
    <cellStyle name="Milliers 105" xfId="109" xr:uid="{00000000-0005-0000-0000-00009A000000}"/>
    <cellStyle name="Milliers 106" xfId="110" xr:uid="{00000000-0005-0000-0000-00009B000000}"/>
    <cellStyle name="Milliers 107" xfId="111" xr:uid="{00000000-0005-0000-0000-00009C000000}"/>
    <cellStyle name="Milliers 108" xfId="112" xr:uid="{00000000-0005-0000-0000-00009D000000}"/>
    <cellStyle name="Milliers 109" xfId="113" xr:uid="{00000000-0005-0000-0000-00009E000000}"/>
    <cellStyle name="Milliers 11" xfId="16" xr:uid="{00000000-0005-0000-0000-00003D000000}"/>
    <cellStyle name="Milliers 110" xfId="114" xr:uid="{00000000-0005-0000-0000-00009F000000}"/>
    <cellStyle name="Milliers 111" xfId="115" xr:uid="{00000000-0005-0000-0000-0000A0000000}"/>
    <cellStyle name="Milliers 112" xfId="116" xr:uid="{00000000-0005-0000-0000-0000A1000000}"/>
    <cellStyle name="Milliers 113" xfId="117" xr:uid="{00000000-0005-0000-0000-0000A2000000}"/>
    <cellStyle name="Milliers 12" xfId="17" xr:uid="{00000000-0005-0000-0000-00003E000000}"/>
    <cellStyle name="Milliers 13" xfId="18" xr:uid="{00000000-0005-0000-0000-00003F000000}"/>
    <cellStyle name="Milliers 14" xfId="19" xr:uid="{00000000-0005-0000-0000-000040000000}"/>
    <cellStyle name="Milliers 15" xfId="20" xr:uid="{00000000-0005-0000-0000-000043000000}"/>
    <cellStyle name="Milliers 16" xfId="21" xr:uid="{00000000-0005-0000-0000-000044000000}"/>
    <cellStyle name="Milliers 17" xfId="22" xr:uid="{00000000-0005-0000-0000-000045000000}"/>
    <cellStyle name="Milliers 18" xfId="23" xr:uid="{00000000-0005-0000-0000-000044000000}"/>
    <cellStyle name="Milliers 19" xfId="24" xr:uid="{00000000-0005-0000-0000-000045000000}"/>
    <cellStyle name="Milliers 2" xfId="2" xr:uid="{00000000-0005-0000-0000-000001000000}"/>
    <cellStyle name="Milliers 2 2" xfId="6" xr:uid="{00000000-0005-0000-0000-000002000000}"/>
    <cellStyle name="Milliers 20" xfId="25" xr:uid="{00000000-0005-0000-0000-000046000000}"/>
    <cellStyle name="Milliers 21" xfId="26" xr:uid="{00000000-0005-0000-0000-000047000000}"/>
    <cellStyle name="Milliers 22" xfId="27" xr:uid="{00000000-0005-0000-0000-000048000000}"/>
    <cellStyle name="Milliers 23" xfId="28" xr:uid="{00000000-0005-0000-0000-000049000000}"/>
    <cellStyle name="Milliers 24" xfId="29" xr:uid="{00000000-0005-0000-0000-00004A000000}"/>
    <cellStyle name="Milliers 25" xfId="30" xr:uid="{00000000-0005-0000-0000-00004B000000}"/>
    <cellStyle name="Milliers 26" xfId="31" xr:uid="{00000000-0005-0000-0000-00004C000000}"/>
    <cellStyle name="Milliers 27" xfId="32" xr:uid="{00000000-0005-0000-0000-00004D000000}"/>
    <cellStyle name="Milliers 28" xfId="33" xr:uid="{00000000-0005-0000-0000-00004E000000}"/>
    <cellStyle name="Milliers 29" xfId="8" xr:uid="{00000000-0005-0000-0000-000003000000}"/>
    <cellStyle name="Milliers 3" xfId="4" xr:uid="{00000000-0005-0000-0000-000004000000}"/>
    <cellStyle name="Milliers 30" xfId="34" xr:uid="{00000000-0005-0000-0000-00004F000000}"/>
    <cellStyle name="Milliers 31" xfId="35" xr:uid="{00000000-0005-0000-0000-000050000000}"/>
    <cellStyle name="Milliers 32" xfId="36" xr:uid="{00000000-0005-0000-0000-000051000000}"/>
    <cellStyle name="Milliers 33" xfId="37" xr:uid="{00000000-0005-0000-0000-000052000000}"/>
    <cellStyle name="Milliers 34" xfId="38" xr:uid="{00000000-0005-0000-0000-000053000000}"/>
    <cellStyle name="Milliers 35" xfId="39" xr:uid="{00000000-0005-0000-0000-000054000000}"/>
    <cellStyle name="Milliers 36" xfId="40" xr:uid="{00000000-0005-0000-0000-000055000000}"/>
    <cellStyle name="Milliers 37" xfId="41" xr:uid="{00000000-0005-0000-0000-000056000000}"/>
    <cellStyle name="Milliers 38" xfId="42" xr:uid="{00000000-0005-0000-0000-000057000000}"/>
    <cellStyle name="Milliers 39" xfId="43" xr:uid="{00000000-0005-0000-0000-000058000000}"/>
    <cellStyle name="Milliers 4" xfId="9" xr:uid="{00000000-0005-0000-0000-000005000000}"/>
    <cellStyle name="Milliers 40" xfId="44" xr:uid="{00000000-0005-0000-0000-000059000000}"/>
    <cellStyle name="Milliers 41" xfId="45" xr:uid="{00000000-0005-0000-0000-00005A000000}"/>
    <cellStyle name="Milliers 42" xfId="46" xr:uid="{00000000-0005-0000-0000-00005D000000}"/>
    <cellStyle name="Milliers 43" xfId="47" xr:uid="{00000000-0005-0000-0000-00005C000000}"/>
    <cellStyle name="Milliers 44" xfId="48" xr:uid="{00000000-0005-0000-0000-00005D000000}"/>
    <cellStyle name="Milliers 45" xfId="49" xr:uid="{00000000-0005-0000-0000-00005E000000}"/>
    <cellStyle name="Milliers 46" xfId="50" xr:uid="{00000000-0005-0000-0000-00005F000000}"/>
    <cellStyle name="Milliers 47" xfId="51" xr:uid="{00000000-0005-0000-0000-000060000000}"/>
    <cellStyle name="Milliers 48" xfId="52" xr:uid="{00000000-0005-0000-0000-000063000000}"/>
    <cellStyle name="Milliers 49" xfId="53" xr:uid="{00000000-0005-0000-0000-000062000000}"/>
    <cellStyle name="Milliers 5" xfId="10" xr:uid="{00000000-0005-0000-0000-000037000000}"/>
    <cellStyle name="Milliers 50" xfId="54" xr:uid="{00000000-0005-0000-0000-000063000000}"/>
    <cellStyle name="Milliers 51" xfId="55" xr:uid="{00000000-0005-0000-0000-000064000000}"/>
    <cellStyle name="Milliers 52" xfId="56" xr:uid="{00000000-0005-0000-0000-000065000000}"/>
    <cellStyle name="Milliers 53" xfId="57" xr:uid="{00000000-0005-0000-0000-000066000000}"/>
    <cellStyle name="Milliers 54" xfId="58" xr:uid="{00000000-0005-0000-0000-000067000000}"/>
    <cellStyle name="Milliers 55" xfId="59" xr:uid="{00000000-0005-0000-0000-000068000000}"/>
    <cellStyle name="Milliers 56" xfId="60" xr:uid="{00000000-0005-0000-0000-000069000000}"/>
    <cellStyle name="Milliers 57" xfId="61" xr:uid="{00000000-0005-0000-0000-00006A000000}"/>
    <cellStyle name="Milliers 58" xfId="62" xr:uid="{00000000-0005-0000-0000-00006B000000}"/>
    <cellStyle name="Milliers 59" xfId="63" xr:uid="{00000000-0005-0000-0000-00006C000000}"/>
    <cellStyle name="Milliers 6" xfId="11" xr:uid="{00000000-0005-0000-0000-000038000000}"/>
    <cellStyle name="Milliers 60" xfId="64" xr:uid="{00000000-0005-0000-0000-00006F000000}"/>
    <cellStyle name="Milliers 61" xfId="65" xr:uid="{00000000-0005-0000-0000-00006E000000}"/>
    <cellStyle name="Milliers 62" xfId="66" xr:uid="{00000000-0005-0000-0000-00006F000000}"/>
    <cellStyle name="Milliers 63" xfId="67" xr:uid="{00000000-0005-0000-0000-000070000000}"/>
    <cellStyle name="Milliers 64" xfId="68" xr:uid="{00000000-0005-0000-0000-000071000000}"/>
    <cellStyle name="Milliers 65" xfId="69" xr:uid="{00000000-0005-0000-0000-000072000000}"/>
    <cellStyle name="Milliers 66" xfId="70" xr:uid="{00000000-0005-0000-0000-000073000000}"/>
    <cellStyle name="Milliers 67" xfId="71" xr:uid="{00000000-0005-0000-0000-000074000000}"/>
    <cellStyle name="Milliers 68" xfId="72" xr:uid="{00000000-0005-0000-0000-000075000000}"/>
    <cellStyle name="Milliers 69" xfId="73" xr:uid="{00000000-0005-0000-0000-000076000000}"/>
    <cellStyle name="Milliers 7" xfId="12" xr:uid="{00000000-0005-0000-0000-000039000000}"/>
    <cellStyle name="Milliers 70" xfId="74" xr:uid="{00000000-0005-0000-0000-000077000000}"/>
    <cellStyle name="Milliers 71" xfId="75" xr:uid="{00000000-0005-0000-0000-00007A000000}"/>
    <cellStyle name="Milliers 72" xfId="76" xr:uid="{00000000-0005-0000-0000-000079000000}"/>
    <cellStyle name="Milliers 73" xfId="77" xr:uid="{00000000-0005-0000-0000-00007A000000}"/>
    <cellStyle name="Milliers 74" xfId="78" xr:uid="{00000000-0005-0000-0000-00007D000000}"/>
    <cellStyle name="Milliers 75" xfId="79" xr:uid="{00000000-0005-0000-0000-00007C000000}"/>
    <cellStyle name="Milliers 76" xfId="80" xr:uid="{00000000-0005-0000-0000-00007D000000}"/>
    <cellStyle name="Milliers 77" xfId="81" xr:uid="{00000000-0005-0000-0000-00007E000000}"/>
    <cellStyle name="Milliers 78" xfId="82" xr:uid="{00000000-0005-0000-0000-00007F000000}"/>
    <cellStyle name="Milliers 79" xfId="83" xr:uid="{00000000-0005-0000-0000-000080000000}"/>
    <cellStyle name="Milliers 8" xfId="13" xr:uid="{00000000-0005-0000-0000-00003A000000}"/>
    <cellStyle name="Milliers 80" xfId="84" xr:uid="{00000000-0005-0000-0000-000081000000}"/>
    <cellStyle name="Milliers 81" xfId="85" xr:uid="{00000000-0005-0000-0000-000082000000}"/>
    <cellStyle name="Milliers 82" xfId="86" xr:uid="{00000000-0005-0000-0000-000083000000}"/>
    <cellStyle name="Milliers 83" xfId="87" xr:uid="{00000000-0005-0000-0000-000084000000}"/>
    <cellStyle name="Milliers 84" xfId="88" xr:uid="{00000000-0005-0000-0000-000085000000}"/>
    <cellStyle name="Milliers 85" xfId="89" xr:uid="{00000000-0005-0000-0000-000086000000}"/>
    <cellStyle name="Milliers 86" xfId="90" xr:uid="{00000000-0005-0000-0000-000087000000}"/>
    <cellStyle name="Milliers 87" xfId="91" xr:uid="{00000000-0005-0000-0000-000088000000}"/>
    <cellStyle name="Milliers 88" xfId="92" xr:uid="{00000000-0005-0000-0000-000089000000}"/>
    <cellStyle name="Milliers 89" xfId="93" xr:uid="{00000000-0005-0000-0000-00008A000000}"/>
    <cellStyle name="Milliers 9" xfId="14" xr:uid="{00000000-0005-0000-0000-00003B000000}"/>
    <cellStyle name="Milliers 90" xfId="94" xr:uid="{00000000-0005-0000-0000-00008B000000}"/>
    <cellStyle name="Milliers 91" xfId="95" xr:uid="{00000000-0005-0000-0000-00008C000000}"/>
    <cellStyle name="Milliers 92" xfId="96" xr:uid="{00000000-0005-0000-0000-00008D000000}"/>
    <cellStyle name="Milliers 93" xfId="97" xr:uid="{00000000-0005-0000-0000-00008E000000}"/>
    <cellStyle name="Milliers 94" xfId="98" xr:uid="{00000000-0005-0000-0000-00008F000000}"/>
    <cellStyle name="Milliers 95" xfId="99" xr:uid="{00000000-0005-0000-0000-000090000000}"/>
    <cellStyle name="Milliers 96" xfId="100" xr:uid="{00000000-0005-0000-0000-000091000000}"/>
    <cellStyle name="Milliers 97" xfId="101" xr:uid="{00000000-0005-0000-0000-000092000000}"/>
    <cellStyle name="Milliers 98" xfId="102" xr:uid="{00000000-0005-0000-0000-000093000000}"/>
    <cellStyle name="Milliers 99" xfId="103" xr:uid="{00000000-0005-0000-0000-000094000000}"/>
    <cellStyle name="Normal" xfId="0" builtinId="0"/>
    <cellStyle name="Normal 2" xfId="5" xr:uid="{00000000-0005-0000-0000-000007000000}"/>
    <cellStyle name="Normal 3" xfId="3" xr:uid="{00000000-0005-0000-0000-000008000000}"/>
    <cellStyle name="Titre 1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39A4-257A-4301-A9C2-6C58C6A02F07}">
  <sheetPr codeName="Feuil4"/>
  <dimension ref="A1:R331"/>
  <sheetViews>
    <sheetView workbookViewId="0">
      <selection sqref="A1:R331"/>
    </sheetView>
  </sheetViews>
  <sheetFormatPr baseColWidth="10" defaultRowHeight="15" x14ac:dyDescent="0.25"/>
  <cols>
    <col min="10" max="10" width="18.42578125" style="30" bestFit="1" customWidth="1"/>
    <col min="13" max="13" width="18.42578125" style="30" bestFit="1" customWidth="1"/>
    <col min="15" max="15" width="20.85546875" style="30" bestFit="1" customWidth="1"/>
    <col min="18" max="18" width="17.42578125" style="30" bestFit="1" customWidth="1"/>
  </cols>
  <sheetData>
    <row r="1" spans="1:18" x14ac:dyDescent="0.25">
      <c r="A1" s="39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41"/>
    </row>
    <row r="2" spans="1:18" ht="23.25" x14ac:dyDescent="0.35">
      <c r="A2" s="48" t="s">
        <v>130</v>
      </c>
      <c r="I2" s="46" t="s">
        <v>129</v>
      </c>
      <c r="J2"/>
      <c r="M2"/>
      <c r="O2" s="45" t="s">
        <v>198</v>
      </c>
      <c r="P2" s="49">
        <v>46023</v>
      </c>
      <c r="R2" s="37"/>
    </row>
    <row r="3" spans="1:18" x14ac:dyDescent="0.25">
      <c r="A3" s="40"/>
      <c r="J3"/>
      <c r="M3"/>
      <c r="O3" s="45" t="s">
        <v>199</v>
      </c>
      <c r="P3" s="49">
        <v>46387</v>
      </c>
      <c r="R3" s="37"/>
    </row>
    <row r="4" spans="1:18" x14ac:dyDescent="0.25">
      <c r="A4" s="40"/>
      <c r="I4" s="47" t="s">
        <v>128</v>
      </c>
      <c r="J4"/>
      <c r="M4"/>
      <c r="O4" s="45" t="s">
        <v>200</v>
      </c>
      <c r="R4" s="37"/>
    </row>
    <row r="5" spans="1:18" x14ac:dyDescent="0.25">
      <c r="A5" s="43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4"/>
    </row>
    <row r="6" spans="1:18" x14ac:dyDescent="0.25">
      <c r="A6" s="45" t="s">
        <v>149</v>
      </c>
      <c r="I6" s="45" t="s">
        <v>127</v>
      </c>
      <c r="J6"/>
      <c r="K6" s="49">
        <v>46295</v>
      </c>
      <c r="M6" s="45" t="s">
        <v>201</v>
      </c>
      <c r="N6" s="51">
        <v>0.49244212962962963</v>
      </c>
      <c r="O6"/>
      <c r="P6" s="50" t="s">
        <v>192</v>
      </c>
      <c r="R6" s="52">
        <v>1</v>
      </c>
    </row>
    <row r="7" spans="1:18" x14ac:dyDescent="0.25">
      <c r="A7" s="39"/>
      <c r="B7" s="38"/>
      <c r="C7" s="39"/>
      <c r="D7" s="38"/>
      <c r="E7" s="38"/>
      <c r="F7" s="38"/>
      <c r="G7" s="38"/>
      <c r="H7" s="41"/>
      <c r="I7" s="38"/>
      <c r="J7" s="38"/>
      <c r="K7" s="38"/>
      <c r="L7" s="38"/>
      <c r="M7" s="41"/>
      <c r="N7" s="38"/>
      <c r="O7" s="38"/>
      <c r="P7" s="38"/>
      <c r="Q7" s="38"/>
      <c r="R7" s="41"/>
    </row>
    <row r="8" spans="1:18" ht="71.099999999999994" customHeight="1" x14ac:dyDescent="0.25">
      <c r="A8" s="66" t="s">
        <v>202</v>
      </c>
      <c r="B8" s="67"/>
      <c r="C8" s="40"/>
      <c r="H8" s="37"/>
      <c r="J8" s="47" t="s">
        <v>203</v>
      </c>
      <c r="M8" s="37"/>
      <c r="O8"/>
      <c r="P8" s="47" t="s">
        <v>193</v>
      </c>
      <c r="R8" s="37"/>
    </row>
    <row r="9" spans="1:18" x14ac:dyDescent="0.25">
      <c r="A9" s="40"/>
      <c r="C9" s="40"/>
      <c r="E9" s="47" t="s">
        <v>126</v>
      </c>
      <c r="H9" s="37"/>
      <c r="J9"/>
      <c r="M9" s="37"/>
      <c r="O9"/>
      <c r="R9" s="37"/>
    </row>
    <row r="10" spans="1:18" x14ac:dyDescent="0.25">
      <c r="A10" s="40"/>
      <c r="C10" s="40"/>
      <c r="H10" s="37"/>
      <c r="J10" s="47" t="s">
        <v>204</v>
      </c>
      <c r="L10" s="47" t="s">
        <v>125</v>
      </c>
      <c r="M10" s="37"/>
      <c r="O10" s="47" t="s">
        <v>204</v>
      </c>
      <c r="Q10" s="47" t="s">
        <v>125</v>
      </c>
      <c r="R10" s="37"/>
    </row>
    <row r="11" spans="1:18" x14ac:dyDescent="0.25">
      <c r="A11" s="43"/>
      <c r="B11" s="42"/>
      <c r="C11" s="43"/>
      <c r="D11" s="42"/>
      <c r="E11" s="42"/>
      <c r="F11" s="42"/>
      <c r="G11" s="42"/>
      <c r="H11" s="44"/>
      <c r="I11" s="42"/>
      <c r="J11" s="42"/>
      <c r="K11" s="42"/>
      <c r="L11" s="42"/>
      <c r="M11" s="44"/>
      <c r="N11" s="42"/>
      <c r="O11" s="42"/>
      <c r="P11" s="42"/>
      <c r="Q11" s="42"/>
      <c r="R11" s="44"/>
    </row>
    <row r="12" spans="1:18" x14ac:dyDescent="0.25">
      <c r="A12" s="39"/>
      <c r="B12" s="38"/>
      <c r="C12" s="38"/>
      <c r="D12" s="38"/>
      <c r="E12" s="38"/>
      <c r="F12" s="38"/>
      <c r="G12" s="38"/>
      <c r="H12" s="38"/>
      <c r="I12" s="39"/>
      <c r="J12" s="41"/>
      <c r="K12" s="38"/>
      <c r="L12" s="38"/>
      <c r="M12" s="38"/>
      <c r="N12" s="39"/>
      <c r="O12" s="41"/>
      <c r="P12" s="38"/>
      <c r="Q12" s="38"/>
      <c r="R12" s="41"/>
    </row>
    <row r="13" spans="1:18" x14ac:dyDescent="0.25">
      <c r="A13" s="65">
        <v>101000</v>
      </c>
      <c r="C13" s="45" t="s">
        <v>1747</v>
      </c>
      <c r="I13" s="53"/>
      <c r="J13" s="55"/>
      <c r="M13" s="56">
        <v>1000000</v>
      </c>
      <c r="N13" s="53"/>
      <c r="O13" s="55"/>
      <c r="R13" s="54">
        <v>1000000</v>
      </c>
    </row>
    <row r="14" spans="1:18" x14ac:dyDescent="0.25">
      <c r="A14" s="65">
        <v>110000</v>
      </c>
      <c r="C14" s="45" t="s">
        <v>1748</v>
      </c>
      <c r="I14" s="53"/>
      <c r="J14" s="55"/>
      <c r="M14" s="56">
        <v>363575376.88</v>
      </c>
      <c r="N14" s="53"/>
      <c r="O14" s="55"/>
      <c r="R14" s="54">
        <v>363575376.88</v>
      </c>
    </row>
    <row r="15" spans="1:18" x14ac:dyDescent="0.25">
      <c r="A15" s="65">
        <v>120000</v>
      </c>
      <c r="C15" s="45" t="s">
        <v>1749</v>
      </c>
      <c r="I15" s="53"/>
      <c r="J15" s="54">
        <v>201902246.94</v>
      </c>
      <c r="M15" s="56">
        <v>1433520829.1300001</v>
      </c>
      <c r="N15" s="53"/>
      <c r="O15" s="55"/>
      <c r="R15" s="54">
        <v>1231618582.1900001</v>
      </c>
    </row>
    <row r="16" spans="1:18" x14ac:dyDescent="0.25">
      <c r="A16" s="65">
        <v>129000</v>
      </c>
      <c r="C16" s="45" t="s">
        <v>1750</v>
      </c>
      <c r="I16" s="53"/>
      <c r="J16" s="54">
        <v>27022531.199999999</v>
      </c>
      <c r="M16" s="57"/>
      <c r="N16" s="53"/>
      <c r="O16" s="54">
        <v>27022531.199999999</v>
      </c>
      <c r="R16" s="55"/>
    </row>
    <row r="17" spans="1:18" x14ac:dyDescent="0.25">
      <c r="A17" s="65">
        <v>204000</v>
      </c>
      <c r="C17" s="45" t="s">
        <v>150</v>
      </c>
      <c r="I17" s="53"/>
      <c r="J17" s="54">
        <v>63305139.960000001</v>
      </c>
      <c r="M17" s="57"/>
      <c r="N17" s="53"/>
      <c r="O17" s="54">
        <v>63305139.960000001</v>
      </c>
      <c r="R17" s="55"/>
    </row>
    <row r="18" spans="1:18" x14ac:dyDescent="0.25">
      <c r="A18" s="65">
        <v>212000</v>
      </c>
      <c r="C18" s="45" t="s">
        <v>1751</v>
      </c>
      <c r="I18" s="53"/>
      <c r="J18" s="54">
        <v>11611131.470000001</v>
      </c>
      <c r="M18" s="57"/>
      <c r="N18" s="53"/>
      <c r="O18" s="54">
        <v>11611131.470000001</v>
      </c>
      <c r="R18" s="55"/>
    </row>
    <row r="19" spans="1:18" x14ac:dyDescent="0.25">
      <c r="A19" s="65">
        <v>215000</v>
      </c>
      <c r="C19" s="45" t="s">
        <v>1752</v>
      </c>
      <c r="I19" s="53"/>
      <c r="J19" s="54">
        <v>230000</v>
      </c>
      <c r="M19" s="57"/>
      <c r="N19" s="53"/>
      <c r="O19" s="54">
        <v>230000</v>
      </c>
      <c r="R19" s="55"/>
    </row>
    <row r="20" spans="1:18" x14ac:dyDescent="0.25">
      <c r="A20" s="65">
        <v>216000</v>
      </c>
      <c r="C20" s="45" t="s">
        <v>1753</v>
      </c>
      <c r="I20" s="53"/>
      <c r="J20" s="54">
        <v>290000</v>
      </c>
      <c r="M20" s="57"/>
      <c r="N20" s="53"/>
      <c r="O20" s="54">
        <v>290000</v>
      </c>
      <c r="R20" s="55"/>
    </row>
    <row r="21" spans="1:18" x14ac:dyDescent="0.25">
      <c r="A21" s="65">
        <v>218200</v>
      </c>
      <c r="C21" s="45" t="s">
        <v>151</v>
      </c>
      <c r="I21" s="53"/>
      <c r="J21" s="54">
        <v>257236724.94</v>
      </c>
      <c r="M21" s="57"/>
      <c r="N21" s="53"/>
      <c r="O21" s="54">
        <v>257236724.94</v>
      </c>
      <c r="R21" s="55"/>
    </row>
    <row r="22" spans="1:18" x14ac:dyDescent="0.25">
      <c r="A22" s="65">
        <v>238000</v>
      </c>
      <c r="C22" s="45" t="s">
        <v>1754</v>
      </c>
      <c r="I22" s="53"/>
      <c r="J22" s="54">
        <v>12536740</v>
      </c>
      <c r="M22" s="57"/>
      <c r="N22" s="53"/>
      <c r="O22" s="54">
        <v>12536740</v>
      </c>
      <c r="R22" s="55"/>
    </row>
    <row r="23" spans="1:18" x14ac:dyDescent="0.25">
      <c r="A23" s="65">
        <v>275000</v>
      </c>
      <c r="C23" s="45" t="s">
        <v>1755</v>
      </c>
      <c r="I23" s="53"/>
      <c r="J23" s="54">
        <v>800000</v>
      </c>
      <c r="M23" s="57"/>
      <c r="N23" s="53"/>
      <c r="O23" s="54">
        <v>800000</v>
      </c>
      <c r="R23" s="55"/>
    </row>
    <row r="24" spans="1:18" x14ac:dyDescent="0.25">
      <c r="A24" s="65">
        <v>280400</v>
      </c>
      <c r="C24" s="45" t="s">
        <v>1756</v>
      </c>
      <c r="I24" s="53"/>
      <c r="J24" s="55"/>
      <c r="M24" s="56">
        <v>62906139.960000001</v>
      </c>
      <c r="N24" s="53"/>
      <c r="O24" s="55"/>
      <c r="R24" s="54">
        <v>62906139.960000001</v>
      </c>
    </row>
    <row r="25" spans="1:18" x14ac:dyDescent="0.25">
      <c r="A25" s="65">
        <v>281200</v>
      </c>
      <c r="C25" s="45" t="s">
        <v>1757</v>
      </c>
      <c r="I25" s="53"/>
      <c r="J25" s="55"/>
      <c r="M25" s="56">
        <v>8261092.3499999996</v>
      </c>
      <c r="N25" s="53"/>
      <c r="O25" s="55"/>
      <c r="R25" s="54">
        <v>8261092.3499999996</v>
      </c>
    </row>
    <row r="26" spans="1:18" x14ac:dyDescent="0.25">
      <c r="A26" s="65">
        <v>281500</v>
      </c>
      <c r="C26" s="45" t="s">
        <v>1758</v>
      </c>
      <c r="I26" s="53"/>
      <c r="J26" s="55"/>
      <c r="M26" s="56">
        <v>230000</v>
      </c>
      <c r="N26" s="53"/>
      <c r="O26" s="55"/>
      <c r="R26" s="54">
        <v>230000</v>
      </c>
    </row>
    <row r="27" spans="1:18" x14ac:dyDescent="0.25">
      <c r="A27" s="65">
        <v>281600</v>
      </c>
      <c r="C27" s="45" t="s">
        <v>1759</v>
      </c>
      <c r="I27" s="53"/>
      <c r="J27" s="55"/>
      <c r="M27" s="56">
        <v>290000</v>
      </c>
      <c r="N27" s="53"/>
      <c r="O27" s="55"/>
      <c r="R27" s="54">
        <v>290000</v>
      </c>
    </row>
    <row r="28" spans="1:18" x14ac:dyDescent="0.25">
      <c r="A28" s="65">
        <v>281820</v>
      </c>
      <c r="C28" s="45" t="s">
        <v>1760</v>
      </c>
      <c r="I28" s="53"/>
      <c r="J28" s="55"/>
      <c r="M28" s="56">
        <v>179151650.08000001</v>
      </c>
      <c r="N28" s="53"/>
      <c r="O28" s="55"/>
      <c r="R28" s="54">
        <v>179151650.08000001</v>
      </c>
    </row>
    <row r="29" spans="1:18" x14ac:dyDescent="0.25">
      <c r="A29" s="65">
        <v>401000</v>
      </c>
      <c r="C29" s="45" t="s">
        <v>152</v>
      </c>
      <c r="I29" s="53"/>
      <c r="J29" s="54">
        <v>7720762825.2799997</v>
      </c>
      <c r="M29" s="56">
        <v>7718750479.2799997</v>
      </c>
      <c r="N29" s="53"/>
      <c r="O29" s="54">
        <v>2012346</v>
      </c>
      <c r="R29" s="55"/>
    </row>
    <row r="30" spans="1:18" x14ac:dyDescent="0.25">
      <c r="A30" s="65">
        <v>401100</v>
      </c>
      <c r="C30" s="45" t="s">
        <v>153</v>
      </c>
      <c r="I30" s="53"/>
      <c r="J30" s="54">
        <v>479842240.65000004</v>
      </c>
      <c r="M30" s="56">
        <v>499261437.17999995</v>
      </c>
      <c r="N30" s="53"/>
      <c r="O30" s="55"/>
      <c r="R30" s="54">
        <v>19419196.529999912</v>
      </c>
    </row>
    <row r="31" spans="1:18" x14ac:dyDescent="0.25">
      <c r="A31" s="65">
        <v>408000</v>
      </c>
      <c r="C31" s="45" t="s">
        <v>1761</v>
      </c>
      <c r="I31" s="53"/>
      <c r="J31" s="54">
        <v>22987486.059999999</v>
      </c>
      <c r="M31" s="56">
        <v>22987486.059999999</v>
      </c>
      <c r="N31" s="53"/>
      <c r="O31" s="55"/>
      <c r="R31" s="55"/>
    </row>
    <row r="32" spans="1:18" x14ac:dyDescent="0.25">
      <c r="A32" s="65">
        <v>409300</v>
      </c>
      <c r="C32" s="45" t="s">
        <v>1762</v>
      </c>
      <c r="I32" s="53"/>
      <c r="J32" s="54">
        <v>72000</v>
      </c>
      <c r="M32" s="56">
        <v>72000</v>
      </c>
      <c r="N32" s="53"/>
      <c r="O32" s="55"/>
      <c r="R32" s="55"/>
    </row>
    <row r="33" spans="1:18" x14ac:dyDescent="0.25">
      <c r="A33" s="65">
        <v>411100</v>
      </c>
      <c r="C33" s="45" t="s">
        <v>142</v>
      </c>
      <c r="I33" s="53"/>
      <c r="J33" s="54">
        <v>271864147.80000001</v>
      </c>
      <c r="M33" s="56">
        <v>271864147.81999999</v>
      </c>
      <c r="N33" s="53"/>
      <c r="O33" s="55"/>
      <c r="R33" s="54">
        <v>1.9999980926513672E-2</v>
      </c>
    </row>
    <row r="34" spans="1:18" x14ac:dyDescent="0.25">
      <c r="A34" s="65">
        <v>411102</v>
      </c>
      <c r="C34" s="45" t="s">
        <v>218</v>
      </c>
      <c r="I34" s="53"/>
      <c r="J34" s="54">
        <v>38525177.839999996</v>
      </c>
      <c r="M34" s="56">
        <v>38525177.840000004</v>
      </c>
      <c r="N34" s="53"/>
      <c r="O34" s="55"/>
      <c r="R34" s="55"/>
    </row>
    <row r="35" spans="1:18" x14ac:dyDescent="0.25">
      <c r="A35" s="65">
        <v>411103</v>
      </c>
      <c r="C35" s="45" t="s">
        <v>207</v>
      </c>
      <c r="I35" s="53"/>
      <c r="J35" s="54">
        <v>728943375.58000004</v>
      </c>
      <c r="M35" s="56">
        <v>621368268.25</v>
      </c>
      <c r="N35" s="53"/>
      <c r="O35" s="54">
        <v>107575107.33000004</v>
      </c>
      <c r="R35" s="55"/>
    </row>
    <row r="36" spans="1:18" x14ac:dyDescent="0.25">
      <c r="A36" s="65">
        <v>411110</v>
      </c>
      <c r="C36" s="45" t="s">
        <v>154</v>
      </c>
      <c r="I36" s="53"/>
      <c r="J36" s="54">
        <v>68830657.780000001</v>
      </c>
      <c r="M36" s="56">
        <v>61469635.780000001</v>
      </c>
      <c r="N36" s="53"/>
      <c r="O36" s="54">
        <v>7361022</v>
      </c>
      <c r="R36" s="55"/>
    </row>
    <row r="37" spans="1:18" x14ac:dyDescent="0.25">
      <c r="A37" s="65">
        <v>411121</v>
      </c>
      <c r="C37" s="45" t="s">
        <v>11</v>
      </c>
      <c r="I37" s="53"/>
      <c r="J37" s="54">
        <v>8184360.2400000002</v>
      </c>
      <c r="M37" s="56">
        <v>8184360.2400000002</v>
      </c>
      <c r="N37" s="53"/>
      <c r="O37" s="55"/>
      <c r="R37" s="55"/>
    </row>
    <row r="38" spans="1:18" x14ac:dyDescent="0.25">
      <c r="A38" s="65">
        <v>411122</v>
      </c>
      <c r="C38" s="45" t="s">
        <v>40</v>
      </c>
      <c r="I38" s="53"/>
      <c r="J38" s="54">
        <v>10738898.01</v>
      </c>
      <c r="M38" s="56">
        <v>8463454.9199999999</v>
      </c>
      <c r="N38" s="53"/>
      <c r="O38" s="54">
        <v>2275443.09</v>
      </c>
      <c r="R38" s="55"/>
    </row>
    <row r="39" spans="1:18" x14ac:dyDescent="0.25">
      <c r="A39" s="65">
        <v>411123</v>
      </c>
      <c r="C39" s="45" t="s">
        <v>36</v>
      </c>
      <c r="I39" s="53"/>
      <c r="J39" s="54">
        <v>943987.19999999995</v>
      </c>
      <c r="M39" s="57"/>
      <c r="N39" s="53"/>
      <c r="O39" s="54">
        <v>943987.19999999995</v>
      </c>
      <c r="R39" s="55"/>
    </row>
    <row r="40" spans="1:18" x14ac:dyDescent="0.25">
      <c r="A40" s="65">
        <v>411124</v>
      </c>
      <c r="C40" s="45" t="s">
        <v>124</v>
      </c>
      <c r="I40" s="53"/>
      <c r="J40" s="54">
        <v>8415340.2599999998</v>
      </c>
      <c r="M40" s="56">
        <v>4661536.5</v>
      </c>
      <c r="N40" s="53"/>
      <c r="O40" s="54">
        <v>3753803.76</v>
      </c>
      <c r="R40" s="55"/>
    </row>
    <row r="41" spans="1:18" x14ac:dyDescent="0.25">
      <c r="A41" s="65">
        <v>411130</v>
      </c>
      <c r="C41" s="45" t="s">
        <v>29</v>
      </c>
      <c r="I41" s="53"/>
      <c r="J41" s="54">
        <v>77571039.599999994</v>
      </c>
      <c r="M41" s="56">
        <v>77571039.599999994</v>
      </c>
      <c r="N41" s="53"/>
      <c r="O41" s="55"/>
      <c r="R41" s="55"/>
    </row>
    <row r="42" spans="1:18" x14ac:dyDescent="0.25">
      <c r="A42" s="65">
        <v>411140</v>
      </c>
      <c r="C42" s="45" t="s">
        <v>1763</v>
      </c>
      <c r="I42" s="53"/>
      <c r="J42" s="54">
        <v>45700000</v>
      </c>
      <c r="M42" s="56">
        <v>45700000</v>
      </c>
      <c r="N42" s="53"/>
      <c r="O42" s="55"/>
      <c r="R42" s="55"/>
    </row>
    <row r="43" spans="1:18" x14ac:dyDescent="0.25">
      <c r="A43" s="65">
        <v>411145</v>
      </c>
      <c r="C43" s="45" t="s">
        <v>21</v>
      </c>
      <c r="I43" s="53"/>
      <c r="J43" s="54">
        <v>15988672.079999998</v>
      </c>
      <c r="M43" s="56">
        <v>15988672.08</v>
      </c>
      <c r="N43" s="53"/>
      <c r="O43" s="55"/>
      <c r="R43" s="55"/>
    </row>
    <row r="44" spans="1:18" x14ac:dyDescent="0.25">
      <c r="A44" s="65">
        <v>411150</v>
      </c>
      <c r="C44" s="45" t="s">
        <v>2</v>
      </c>
      <c r="I44" s="53"/>
      <c r="J44" s="54">
        <v>15886566.539999999</v>
      </c>
      <c r="M44" s="56">
        <v>15886566.539999999</v>
      </c>
      <c r="N44" s="53"/>
      <c r="O44" s="55"/>
      <c r="R44" s="55"/>
    </row>
    <row r="45" spans="1:18" x14ac:dyDescent="0.25">
      <c r="A45" s="65">
        <v>411160</v>
      </c>
      <c r="C45" s="45" t="s">
        <v>155</v>
      </c>
      <c r="I45" s="53"/>
      <c r="J45" s="54">
        <v>10284504.66</v>
      </c>
      <c r="M45" s="56">
        <v>10284504.66</v>
      </c>
      <c r="N45" s="53"/>
      <c r="O45" s="55"/>
      <c r="R45" s="55"/>
    </row>
    <row r="46" spans="1:18" x14ac:dyDescent="0.25">
      <c r="A46" s="65">
        <v>411171</v>
      </c>
      <c r="C46" s="45" t="s">
        <v>156</v>
      </c>
      <c r="I46" s="53"/>
      <c r="J46" s="54">
        <v>4200000</v>
      </c>
      <c r="M46" s="56">
        <v>3780000</v>
      </c>
      <c r="N46" s="53"/>
      <c r="O46" s="54">
        <v>420000</v>
      </c>
      <c r="R46" s="55"/>
    </row>
    <row r="47" spans="1:18" x14ac:dyDescent="0.25">
      <c r="A47" s="65">
        <v>411180</v>
      </c>
      <c r="C47" s="45" t="s">
        <v>8</v>
      </c>
      <c r="I47" s="53"/>
      <c r="J47" s="54">
        <v>20826686.600000001</v>
      </c>
      <c r="M47" s="56">
        <v>19708551.18</v>
      </c>
      <c r="N47" s="53"/>
      <c r="O47" s="54">
        <v>1118135.4200000018</v>
      </c>
      <c r="R47" s="55"/>
    </row>
    <row r="48" spans="1:18" x14ac:dyDescent="0.25">
      <c r="A48" s="65">
        <v>411190</v>
      </c>
      <c r="C48" s="45" t="s">
        <v>22</v>
      </c>
      <c r="I48" s="53"/>
      <c r="J48" s="54">
        <v>6548480.2800000003</v>
      </c>
      <c r="M48" s="56">
        <v>6548480.2800000003</v>
      </c>
      <c r="N48" s="53"/>
      <c r="O48" s="55"/>
      <c r="R48" s="55"/>
    </row>
    <row r="49" spans="1:18" x14ac:dyDescent="0.25">
      <c r="A49" s="65">
        <v>411201</v>
      </c>
      <c r="C49" s="45" t="s">
        <v>41</v>
      </c>
      <c r="I49" s="53"/>
      <c r="J49" s="54">
        <v>15122759.039999999</v>
      </c>
      <c r="M49" s="56">
        <v>14334024.48</v>
      </c>
      <c r="N49" s="53"/>
      <c r="O49" s="54">
        <v>788734.55999999866</v>
      </c>
      <c r="R49" s="55"/>
    </row>
    <row r="50" spans="1:18" x14ac:dyDescent="0.25">
      <c r="A50" s="65">
        <v>411202</v>
      </c>
      <c r="C50" s="45" t="s">
        <v>42</v>
      </c>
      <c r="I50" s="53"/>
      <c r="J50" s="54">
        <v>1461434.02</v>
      </c>
      <c r="M50" s="56">
        <v>1419266.02</v>
      </c>
      <c r="N50" s="53"/>
      <c r="O50" s="54">
        <v>42168</v>
      </c>
      <c r="R50" s="55"/>
    </row>
    <row r="51" spans="1:18" x14ac:dyDescent="0.25">
      <c r="A51" s="65">
        <v>411204</v>
      </c>
      <c r="C51" s="45" t="s">
        <v>43</v>
      </c>
      <c r="I51" s="53"/>
      <c r="J51" s="54">
        <v>960012.75</v>
      </c>
      <c r="M51" s="56">
        <v>863087.75</v>
      </c>
      <c r="N51" s="53"/>
      <c r="O51" s="54">
        <v>96925</v>
      </c>
      <c r="R51" s="55"/>
    </row>
    <row r="52" spans="1:18" x14ac:dyDescent="0.25">
      <c r="A52" s="65">
        <v>411205</v>
      </c>
      <c r="C52" s="45" t="s">
        <v>44</v>
      </c>
      <c r="I52" s="53"/>
      <c r="J52" s="54">
        <v>46771.199999999997</v>
      </c>
      <c r="M52" s="56">
        <v>46771.199999999997</v>
      </c>
      <c r="N52" s="53"/>
      <c r="O52" s="55"/>
      <c r="R52" s="55"/>
    </row>
    <row r="53" spans="1:18" x14ac:dyDescent="0.25">
      <c r="A53" s="65">
        <v>411206</v>
      </c>
      <c r="C53" s="45" t="s">
        <v>45</v>
      </c>
      <c r="I53" s="53"/>
      <c r="J53" s="54">
        <v>3344020.45</v>
      </c>
      <c r="M53" s="56">
        <v>3187890.85</v>
      </c>
      <c r="N53" s="53"/>
      <c r="O53" s="54">
        <v>156129.60000000009</v>
      </c>
      <c r="R53" s="55"/>
    </row>
    <row r="54" spans="1:18" x14ac:dyDescent="0.25">
      <c r="A54" s="65">
        <v>411207</v>
      </c>
      <c r="C54" s="45" t="s">
        <v>46</v>
      </c>
      <c r="I54" s="53"/>
      <c r="J54" s="54">
        <v>219611.74</v>
      </c>
      <c r="M54" s="56">
        <v>219611.74</v>
      </c>
      <c r="N54" s="53"/>
      <c r="O54" s="55"/>
      <c r="R54" s="55"/>
    </row>
    <row r="55" spans="1:18" x14ac:dyDescent="0.25">
      <c r="A55" s="65">
        <v>411210</v>
      </c>
      <c r="C55" s="45" t="s">
        <v>5</v>
      </c>
      <c r="I55" s="53"/>
      <c r="J55" s="54">
        <v>4253015.4000000004</v>
      </c>
      <c r="M55" s="56">
        <v>4253015.4000000004</v>
      </c>
      <c r="N55" s="53"/>
      <c r="O55" s="55"/>
      <c r="R55" s="55"/>
    </row>
    <row r="56" spans="1:18" x14ac:dyDescent="0.25">
      <c r="A56" s="65">
        <v>411211</v>
      </c>
      <c r="C56" s="45" t="s">
        <v>208</v>
      </c>
      <c r="I56" s="53"/>
      <c r="J56" s="54">
        <v>1122018</v>
      </c>
      <c r="M56" s="56">
        <v>1122018</v>
      </c>
      <c r="N56" s="53"/>
      <c r="O56" s="55"/>
      <c r="R56" s="55"/>
    </row>
    <row r="57" spans="1:18" x14ac:dyDescent="0.25">
      <c r="A57" s="65">
        <v>411220</v>
      </c>
      <c r="C57" s="45" t="s">
        <v>35</v>
      </c>
      <c r="I57" s="53"/>
      <c r="J57" s="54">
        <v>5853431.04</v>
      </c>
      <c r="M57" s="56">
        <v>5853431.04</v>
      </c>
      <c r="N57" s="53"/>
      <c r="O57" s="55"/>
      <c r="R57" s="55"/>
    </row>
    <row r="58" spans="1:18" x14ac:dyDescent="0.25">
      <c r="A58" s="65">
        <v>411222</v>
      </c>
      <c r="C58" s="45" t="s">
        <v>219</v>
      </c>
      <c r="I58" s="53"/>
      <c r="J58" s="54">
        <v>8493067.3200000003</v>
      </c>
      <c r="M58" s="56">
        <v>8493067.3200000003</v>
      </c>
      <c r="N58" s="53"/>
      <c r="O58" s="55"/>
      <c r="R58" s="55"/>
    </row>
    <row r="59" spans="1:18" x14ac:dyDescent="0.25">
      <c r="A59" s="65">
        <v>411223</v>
      </c>
      <c r="C59" s="45" t="s">
        <v>1742</v>
      </c>
      <c r="I59" s="53"/>
      <c r="J59" s="54">
        <v>576000</v>
      </c>
      <c r="M59" s="56">
        <v>576000</v>
      </c>
      <c r="N59" s="53"/>
      <c r="O59" s="55"/>
      <c r="R59" s="55"/>
    </row>
    <row r="60" spans="1:18" x14ac:dyDescent="0.25">
      <c r="A60" s="65">
        <v>411230</v>
      </c>
      <c r="C60" s="45" t="s">
        <v>7</v>
      </c>
      <c r="I60" s="53"/>
      <c r="J60" s="54">
        <v>8017752.6600000001</v>
      </c>
      <c r="M60" s="56">
        <v>8017752.6600000001</v>
      </c>
      <c r="N60" s="53"/>
      <c r="O60" s="55"/>
      <c r="R60" s="55"/>
    </row>
    <row r="61" spans="1:18" x14ac:dyDescent="0.25">
      <c r="A61" s="65">
        <v>411240</v>
      </c>
      <c r="C61" s="45" t="s">
        <v>6</v>
      </c>
      <c r="I61" s="53"/>
      <c r="J61" s="54">
        <v>4921765.4399999995</v>
      </c>
      <c r="M61" s="56">
        <v>4921765.4400000004</v>
      </c>
      <c r="N61" s="53"/>
      <c r="O61" s="55"/>
      <c r="R61" s="55"/>
    </row>
    <row r="62" spans="1:18" x14ac:dyDescent="0.25">
      <c r="A62" s="65">
        <v>411250</v>
      </c>
      <c r="C62" s="45" t="s">
        <v>157</v>
      </c>
      <c r="I62" s="53"/>
      <c r="J62" s="54">
        <v>11571118.199999999</v>
      </c>
      <c r="M62" s="56">
        <v>11571118.199999999</v>
      </c>
      <c r="N62" s="53"/>
      <c r="O62" s="55"/>
      <c r="R62" s="55"/>
    </row>
    <row r="63" spans="1:18" x14ac:dyDescent="0.25">
      <c r="A63" s="65">
        <v>411260</v>
      </c>
      <c r="C63" s="45" t="s">
        <v>47</v>
      </c>
      <c r="I63" s="53"/>
      <c r="J63" s="54">
        <v>17012571.48</v>
      </c>
      <c r="M63" s="56">
        <v>17101401.48</v>
      </c>
      <c r="N63" s="53"/>
      <c r="O63" s="55"/>
      <c r="R63" s="54">
        <v>88830</v>
      </c>
    </row>
    <row r="64" spans="1:18" x14ac:dyDescent="0.25">
      <c r="A64" s="65">
        <v>411262</v>
      </c>
      <c r="C64" s="45" t="s">
        <v>209</v>
      </c>
      <c r="I64" s="53"/>
      <c r="J64" s="54">
        <v>887857.91</v>
      </c>
      <c r="M64" s="56">
        <v>887857.91</v>
      </c>
      <c r="N64" s="53"/>
      <c r="O64" s="55"/>
      <c r="R64" s="55"/>
    </row>
    <row r="65" spans="1:18" x14ac:dyDescent="0.25">
      <c r="A65" s="65">
        <v>411270</v>
      </c>
      <c r="C65" s="45" t="s">
        <v>34</v>
      </c>
      <c r="I65" s="53"/>
      <c r="J65" s="54">
        <v>2091723.96</v>
      </c>
      <c r="M65" s="56">
        <v>2091723.96</v>
      </c>
      <c r="N65" s="53"/>
      <c r="O65" s="55"/>
      <c r="R65" s="55"/>
    </row>
    <row r="66" spans="1:18" x14ac:dyDescent="0.25">
      <c r="A66" s="65">
        <v>411271</v>
      </c>
      <c r="C66" s="45" t="s">
        <v>210</v>
      </c>
      <c r="I66" s="53"/>
      <c r="J66" s="54">
        <v>806742.84</v>
      </c>
      <c r="M66" s="56">
        <v>806742.84</v>
      </c>
      <c r="N66" s="53"/>
      <c r="O66" s="55"/>
      <c r="R66" s="55"/>
    </row>
    <row r="67" spans="1:18" x14ac:dyDescent="0.25">
      <c r="A67" s="65">
        <v>411272</v>
      </c>
      <c r="C67" s="45" t="s">
        <v>220</v>
      </c>
      <c r="I67" s="53"/>
      <c r="J67" s="54">
        <v>469476</v>
      </c>
      <c r="M67" s="56">
        <v>469476</v>
      </c>
      <c r="N67" s="53"/>
      <c r="O67" s="55"/>
      <c r="R67" s="55"/>
    </row>
    <row r="68" spans="1:18" x14ac:dyDescent="0.25">
      <c r="A68" s="65">
        <v>411320</v>
      </c>
      <c r="C68" s="45" t="s">
        <v>139</v>
      </c>
      <c r="I68" s="53"/>
      <c r="J68" s="54">
        <v>13452609.24</v>
      </c>
      <c r="M68" s="56">
        <v>11611688.52</v>
      </c>
      <c r="N68" s="53"/>
      <c r="O68" s="54">
        <v>1840920.7200000007</v>
      </c>
      <c r="R68" s="55"/>
    </row>
    <row r="69" spans="1:18" x14ac:dyDescent="0.25">
      <c r="A69" s="65">
        <v>411321</v>
      </c>
      <c r="C69" s="45" t="s">
        <v>138</v>
      </c>
      <c r="I69" s="53"/>
      <c r="J69" s="54">
        <v>11867740.439999999</v>
      </c>
      <c r="M69" s="56">
        <v>10085089.800000001</v>
      </c>
      <c r="N69" s="53"/>
      <c r="O69" s="54">
        <v>1782650.6399999987</v>
      </c>
      <c r="R69" s="55"/>
    </row>
    <row r="70" spans="1:18" x14ac:dyDescent="0.25">
      <c r="A70" s="65">
        <v>411322</v>
      </c>
      <c r="C70" s="45" t="s">
        <v>31</v>
      </c>
      <c r="I70" s="53"/>
      <c r="J70" s="54">
        <v>10802111.280000001</v>
      </c>
      <c r="M70" s="56">
        <v>8410331.2799999993</v>
      </c>
      <c r="N70" s="53"/>
      <c r="O70" s="54">
        <v>2391780.0000000019</v>
      </c>
      <c r="R70" s="55"/>
    </row>
    <row r="71" spans="1:18" x14ac:dyDescent="0.25">
      <c r="A71" s="65">
        <v>411330</v>
      </c>
      <c r="C71" s="45" t="s">
        <v>12</v>
      </c>
      <c r="I71" s="53"/>
      <c r="J71" s="54">
        <v>8764478.5199999996</v>
      </c>
      <c r="M71" s="56">
        <v>8231880.1200000001</v>
      </c>
      <c r="N71" s="53"/>
      <c r="O71" s="54">
        <v>532598.39999999944</v>
      </c>
      <c r="R71" s="55"/>
    </row>
    <row r="72" spans="1:18" x14ac:dyDescent="0.25">
      <c r="A72" s="65">
        <v>411332</v>
      </c>
      <c r="C72" s="45" t="s">
        <v>143</v>
      </c>
      <c r="I72" s="53"/>
      <c r="J72" s="54">
        <v>31584</v>
      </c>
      <c r="M72" s="56">
        <v>30144</v>
      </c>
      <c r="N72" s="53"/>
      <c r="O72" s="54">
        <v>1440</v>
      </c>
      <c r="R72" s="55"/>
    </row>
    <row r="73" spans="1:18" x14ac:dyDescent="0.25">
      <c r="A73" s="65">
        <v>411340</v>
      </c>
      <c r="C73" s="45" t="s">
        <v>13</v>
      </c>
      <c r="I73" s="53"/>
      <c r="J73" s="54">
        <v>280099.20000000001</v>
      </c>
      <c r="M73" s="56">
        <v>262646.40000000002</v>
      </c>
      <c r="N73" s="53"/>
      <c r="O73" s="54">
        <v>17452.799999999988</v>
      </c>
      <c r="R73" s="55"/>
    </row>
    <row r="74" spans="1:18" x14ac:dyDescent="0.25">
      <c r="A74" s="65">
        <v>411350</v>
      </c>
      <c r="C74" s="45" t="s">
        <v>14</v>
      </c>
      <c r="I74" s="53"/>
      <c r="J74" s="54">
        <v>1677638.4</v>
      </c>
      <c r="M74" s="56">
        <v>1400064</v>
      </c>
      <c r="N74" s="53"/>
      <c r="O74" s="54">
        <v>277574.39999999991</v>
      </c>
      <c r="R74" s="55"/>
    </row>
    <row r="75" spans="1:18" x14ac:dyDescent="0.25">
      <c r="A75" s="65">
        <v>411360</v>
      </c>
      <c r="C75" s="45" t="s">
        <v>48</v>
      </c>
      <c r="I75" s="53"/>
      <c r="J75" s="54">
        <v>10155609.719999999</v>
      </c>
      <c r="M75" s="56">
        <v>9598794.3599999994</v>
      </c>
      <c r="N75" s="53"/>
      <c r="O75" s="54">
        <v>556815.3599999994</v>
      </c>
      <c r="R75" s="55"/>
    </row>
    <row r="76" spans="1:18" x14ac:dyDescent="0.25">
      <c r="A76" s="65">
        <v>411370</v>
      </c>
      <c r="C76" s="45" t="s">
        <v>49</v>
      </c>
      <c r="I76" s="53"/>
      <c r="J76" s="54">
        <v>6143891.2800000003</v>
      </c>
      <c r="M76" s="56">
        <v>5536931.2800000003</v>
      </c>
      <c r="N76" s="53"/>
      <c r="O76" s="54">
        <v>606960</v>
      </c>
      <c r="R76" s="55"/>
    </row>
    <row r="77" spans="1:18" x14ac:dyDescent="0.25">
      <c r="A77" s="65">
        <v>411400</v>
      </c>
      <c r="C77" s="45" t="s">
        <v>158</v>
      </c>
      <c r="I77" s="53"/>
      <c r="J77" s="54">
        <v>11901167.77</v>
      </c>
      <c r="M77" s="56">
        <v>11390936.890000001</v>
      </c>
      <c r="N77" s="53"/>
      <c r="O77" s="54">
        <v>510230.87999999896</v>
      </c>
      <c r="R77" s="55"/>
    </row>
    <row r="78" spans="1:18" x14ac:dyDescent="0.25">
      <c r="A78" s="65">
        <v>411601</v>
      </c>
      <c r="C78" s="45" t="s">
        <v>194</v>
      </c>
      <c r="I78" s="53"/>
      <c r="J78" s="54">
        <v>9900000</v>
      </c>
      <c r="M78" s="56">
        <v>8910000</v>
      </c>
      <c r="N78" s="53"/>
      <c r="O78" s="54">
        <v>990000</v>
      </c>
      <c r="R78" s="55"/>
    </row>
    <row r="79" spans="1:18" x14ac:dyDescent="0.25">
      <c r="A79" s="65">
        <v>411602</v>
      </c>
      <c r="C79" s="45" t="s">
        <v>206</v>
      </c>
      <c r="I79" s="53"/>
      <c r="J79" s="54">
        <v>2932459.56</v>
      </c>
      <c r="M79" s="56">
        <v>2932459.56</v>
      </c>
      <c r="N79" s="53"/>
      <c r="O79" s="55"/>
      <c r="R79" s="55"/>
    </row>
    <row r="80" spans="1:18" x14ac:dyDescent="0.25">
      <c r="A80" s="65">
        <v>411603</v>
      </c>
      <c r="C80" s="45" t="s">
        <v>211</v>
      </c>
      <c r="I80" s="53"/>
      <c r="J80" s="54">
        <v>12000000</v>
      </c>
      <c r="M80" s="56">
        <v>12000000</v>
      </c>
      <c r="N80" s="53"/>
      <c r="O80" s="55"/>
      <c r="R80" s="55"/>
    </row>
    <row r="81" spans="1:18" x14ac:dyDescent="0.25">
      <c r="A81" s="65">
        <v>411700</v>
      </c>
      <c r="C81" s="45" t="s">
        <v>38</v>
      </c>
      <c r="I81" s="53"/>
      <c r="J81" s="54">
        <v>12167032.859999999</v>
      </c>
      <c r="M81" s="56">
        <v>12167032.859999999</v>
      </c>
      <c r="N81" s="53"/>
      <c r="O81" s="55"/>
      <c r="R81" s="55"/>
    </row>
    <row r="82" spans="1:18" x14ac:dyDescent="0.25">
      <c r="A82" s="65">
        <v>411710</v>
      </c>
      <c r="C82" s="45" t="s">
        <v>189</v>
      </c>
      <c r="I82" s="53"/>
      <c r="J82" s="54">
        <v>1737821.34</v>
      </c>
      <c r="M82" s="57"/>
      <c r="N82" s="53"/>
      <c r="O82" s="54">
        <v>1737821.34</v>
      </c>
      <c r="R82" s="55"/>
    </row>
    <row r="83" spans="1:18" x14ac:dyDescent="0.25">
      <c r="A83" s="65">
        <v>411800</v>
      </c>
      <c r="C83" s="45" t="s">
        <v>50</v>
      </c>
      <c r="I83" s="53"/>
      <c r="J83" s="54">
        <v>11470170.449999999</v>
      </c>
      <c r="M83" s="56">
        <v>10870170.449999999</v>
      </c>
      <c r="N83" s="53"/>
      <c r="O83" s="54">
        <v>600000</v>
      </c>
      <c r="R83" s="55"/>
    </row>
    <row r="84" spans="1:18" x14ac:dyDescent="0.25">
      <c r="A84" s="65">
        <v>411801</v>
      </c>
      <c r="C84" s="45" t="s">
        <v>1764</v>
      </c>
      <c r="I84" s="53"/>
      <c r="J84" s="54">
        <v>600000</v>
      </c>
      <c r="M84" s="56">
        <v>600000</v>
      </c>
      <c r="N84" s="53"/>
      <c r="O84" s="55"/>
      <c r="R84" s="55"/>
    </row>
    <row r="85" spans="1:18" x14ac:dyDescent="0.25">
      <c r="A85" s="65">
        <v>411802</v>
      </c>
      <c r="C85" s="45" t="s">
        <v>1744</v>
      </c>
      <c r="I85" s="53"/>
      <c r="J85" s="54">
        <v>2011822.5</v>
      </c>
      <c r="M85" s="56">
        <v>2011822.5</v>
      </c>
      <c r="N85" s="53"/>
      <c r="O85" s="55"/>
      <c r="R85" s="55"/>
    </row>
    <row r="86" spans="1:18" x14ac:dyDescent="0.25">
      <c r="A86" s="65">
        <v>411900</v>
      </c>
      <c r="C86" s="45" t="s">
        <v>51</v>
      </c>
      <c r="I86" s="53"/>
      <c r="J86" s="54">
        <v>243196990.44</v>
      </c>
      <c r="M86" s="56">
        <v>243196990.44</v>
      </c>
      <c r="N86" s="53"/>
      <c r="O86" s="55"/>
      <c r="R86" s="55"/>
    </row>
    <row r="87" spans="1:18" x14ac:dyDescent="0.25">
      <c r="A87" s="65">
        <v>411910</v>
      </c>
      <c r="C87" s="45" t="s">
        <v>52</v>
      </c>
      <c r="I87" s="53"/>
      <c r="J87" s="54">
        <v>64514504.640000001</v>
      </c>
      <c r="M87" s="56">
        <v>29916090.719999999</v>
      </c>
      <c r="N87" s="53"/>
      <c r="O87" s="54">
        <v>34598413.920000002</v>
      </c>
      <c r="R87" s="55"/>
    </row>
    <row r="88" spans="1:18" x14ac:dyDescent="0.25">
      <c r="A88" s="65">
        <v>411921</v>
      </c>
      <c r="C88" s="45" t="s">
        <v>145</v>
      </c>
      <c r="I88" s="53"/>
      <c r="J88" s="54">
        <v>3514594.1999999997</v>
      </c>
      <c r="M88" s="56">
        <v>3412594.2</v>
      </c>
      <c r="N88" s="53"/>
      <c r="O88" s="54">
        <v>101999.99999999953</v>
      </c>
      <c r="R88" s="55"/>
    </row>
    <row r="89" spans="1:18" x14ac:dyDescent="0.25">
      <c r="A89" s="65">
        <v>418000</v>
      </c>
      <c r="C89" s="45" t="s">
        <v>1765</v>
      </c>
      <c r="I89" s="53"/>
      <c r="J89" s="54">
        <v>206886305.27000001</v>
      </c>
      <c r="M89" s="56">
        <v>206886305.27000001</v>
      </c>
      <c r="N89" s="53"/>
      <c r="O89" s="55"/>
      <c r="R89" s="55"/>
    </row>
    <row r="90" spans="1:18" x14ac:dyDescent="0.25">
      <c r="A90" s="65">
        <v>421000</v>
      </c>
      <c r="C90" s="45" t="s">
        <v>159</v>
      </c>
      <c r="I90" s="53"/>
      <c r="J90" s="54">
        <v>325760924.60000002</v>
      </c>
      <c r="M90" s="56">
        <v>325770924.60000002</v>
      </c>
      <c r="N90" s="53"/>
      <c r="O90" s="55"/>
      <c r="R90" s="54">
        <v>10000</v>
      </c>
    </row>
    <row r="91" spans="1:18" x14ac:dyDescent="0.25">
      <c r="A91" s="65">
        <v>425000</v>
      </c>
      <c r="C91" s="45" t="s">
        <v>160</v>
      </c>
      <c r="I91" s="53"/>
      <c r="J91" s="54">
        <v>8350000</v>
      </c>
      <c r="M91" s="56">
        <v>7700000</v>
      </c>
      <c r="N91" s="53"/>
      <c r="O91" s="54">
        <v>650000</v>
      </c>
      <c r="R91" s="55"/>
    </row>
    <row r="92" spans="1:18" x14ac:dyDescent="0.25">
      <c r="A92" s="65">
        <v>428100</v>
      </c>
      <c r="C92" s="45" t="s">
        <v>1766</v>
      </c>
      <c r="I92" s="53"/>
      <c r="J92" s="54">
        <v>81983238.469999999</v>
      </c>
      <c r="M92" s="56">
        <v>154008201.88999999</v>
      </c>
      <c r="N92" s="53"/>
      <c r="O92" s="55"/>
      <c r="R92" s="54">
        <v>72024963.419999987</v>
      </c>
    </row>
    <row r="93" spans="1:18" x14ac:dyDescent="0.25">
      <c r="A93" s="65">
        <v>431100</v>
      </c>
      <c r="C93" s="45" t="s">
        <v>161</v>
      </c>
      <c r="I93" s="53"/>
      <c r="J93" s="54">
        <v>40813772.770000003</v>
      </c>
      <c r="M93" s="56">
        <v>49173462.289999999</v>
      </c>
      <c r="N93" s="53"/>
      <c r="O93" s="55"/>
      <c r="R93" s="54">
        <v>8359689.5199999958</v>
      </c>
    </row>
    <row r="94" spans="1:18" x14ac:dyDescent="0.25">
      <c r="A94" s="65">
        <v>431101</v>
      </c>
      <c r="C94" s="45" t="s">
        <v>162</v>
      </c>
      <c r="I94" s="53"/>
      <c r="J94" s="54">
        <v>1192000</v>
      </c>
      <c r="M94" s="56">
        <v>1192000</v>
      </c>
      <c r="N94" s="53"/>
      <c r="O94" s="55"/>
      <c r="R94" s="55"/>
    </row>
    <row r="95" spans="1:18" x14ac:dyDescent="0.25">
      <c r="A95" s="65">
        <v>431200</v>
      </c>
      <c r="C95" s="45" t="s">
        <v>1767</v>
      </c>
      <c r="I95" s="53"/>
      <c r="J95" s="54">
        <v>17491617.09</v>
      </c>
      <c r="M95" s="56">
        <v>21074341.170000002</v>
      </c>
      <c r="N95" s="53"/>
      <c r="O95" s="55"/>
      <c r="R95" s="54">
        <v>3582724.0800000019</v>
      </c>
    </row>
    <row r="96" spans="1:18" x14ac:dyDescent="0.25">
      <c r="A96" s="65">
        <v>431300</v>
      </c>
      <c r="C96" s="45" t="s">
        <v>163</v>
      </c>
      <c r="I96" s="53"/>
      <c r="J96" s="54">
        <v>2915268.97</v>
      </c>
      <c r="M96" s="56">
        <v>4574389.6500000004</v>
      </c>
      <c r="N96" s="53"/>
      <c r="O96" s="55"/>
      <c r="R96" s="54">
        <v>1659120.6800000002</v>
      </c>
    </row>
    <row r="97" spans="1:18" x14ac:dyDescent="0.25">
      <c r="A97" s="65">
        <v>433000</v>
      </c>
      <c r="C97" s="45" t="s">
        <v>1768</v>
      </c>
      <c r="I97" s="53"/>
      <c r="J97" s="54">
        <v>3260509.1</v>
      </c>
      <c r="M97" s="56">
        <v>4785709.0999999996</v>
      </c>
      <c r="N97" s="53"/>
      <c r="O97" s="55"/>
      <c r="R97" s="54">
        <v>1525199.9999999995</v>
      </c>
    </row>
    <row r="98" spans="1:18" x14ac:dyDescent="0.25">
      <c r="A98" s="65">
        <v>444100</v>
      </c>
      <c r="C98" s="45" t="s">
        <v>1769</v>
      </c>
      <c r="I98" s="53"/>
      <c r="J98" s="55"/>
      <c r="M98" s="56">
        <v>64839964</v>
      </c>
      <c r="N98" s="53"/>
      <c r="O98" s="55"/>
      <c r="R98" s="54">
        <v>64839964</v>
      </c>
    </row>
    <row r="99" spans="1:18" x14ac:dyDescent="0.25">
      <c r="A99" s="65">
        <v>444200</v>
      </c>
      <c r="C99" s="45" t="s">
        <v>1770</v>
      </c>
      <c r="I99" s="53"/>
      <c r="J99" s="54">
        <v>152049204.74000001</v>
      </c>
      <c r="M99" s="57"/>
      <c r="N99" s="53"/>
      <c r="O99" s="54">
        <v>152049204.74000001</v>
      </c>
      <c r="R99" s="55"/>
    </row>
    <row r="100" spans="1:18" x14ac:dyDescent="0.25">
      <c r="A100" s="65">
        <v>444400</v>
      </c>
      <c r="C100" s="45" t="s">
        <v>164</v>
      </c>
      <c r="I100" s="53"/>
      <c r="J100" s="54">
        <v>575965.73</v>
      </c>
      <c r="M100" s="56">
        <v>575965.73</v>
      </c>
      <c r="N100" s="53"/>
      <c r="O100" s="55"/>
      <c r="R100" s="55"/>
    </row>
    <row r="101" spans="1:18" x14ac:dyDescent="0.25">
      <c r="A101" s="65">
        <v>444410</v>
      </c>
      <c r="C101" s="45" t="s">
        <v>1771</v>
      </c>
      <c r="I101" s="53"/>
      <c r="J101" s="54">
        <v>1992415</v>
      </c>
      <c r="M101" s="56">
        <v>6475603.4699999997</v>
      </c>
      <c r="N101" s="53"/>
      <c r="O101" s="55"/>
      <c r="R101" s="54">
        <v>4483188.47</v>
      </c>
    </row>
    <row r="102" spans="1:18" x14ac:dyDescent="0.25">
      <c r="A102" s="65">
        <v>445500</v>
      </c>
      <c r="C102" s="45" t="s">
        <v>165</v>
      </c>
      <c r="I102" s="53"/>
      <c r="J102" s="54">
        <v>124912269.81</v>
      </c>
      <c r="M102" s="56">
        <v>129862661.64</v>
      </c>
      <c r="N102" s="53"/>
      <c r="O102" s="55"/>
      <c r="R102" s="54">
        <v>4950391.8299999982</v>
      </c>
    </row>
    <row r="103" spans="1:18" x14ac:dyDescent="0.25">
      <c r="A103" s="65">
        <v>445600</v>
      </c>
      <c r="C103" s="45" t="s">
        <v>166</v>
      </c>
      <c r="I103" s="53"/>
      <c r="J103" s="54">
        <v>69830301.870000005</v>
      </c>
      <c r="M103" s="56">
        <v>61099606.190000005</v>
      </c>
      <c r="N103" s="53"/>
      <c r="O103" s="54">
        <v>8730695.6799999997</v>
      </c>
      <c r="R103" s="55"/>
    </row>
    <row r="104" spans="1:18" x14ac:dyDescent="0.25">
      <c r="A104" s="65">
        <v>445610</v>
      </c>
      <c r="C104" s="45" t="s">
        <v>1814</v>
      </c>
      <c r="I104" s="53"/>
      <c r="J104" s="54">
        <v>3822603.51</v>
      </c>
      <c r="M104" s="56">
        <v>3822603.51</v>
      </c>
      <c r="N104" s="53"/>
      <c r="O104" s="55"/>
      <c r="R104" s="55"/>
    </row>
    <row r="105" spans="1:18" x14ac:dyDescent="0.25">
      <c r="A105" s="65">
        <v>445640</v>
      </c>
      <c r="C105" s="45" t="s">
        <v>167</v>
      </c>
      <c r="I105" s="53"/>
      <c r="J105" s="54">
        <v>1546600</v>
      </c>
      <c r="M105" s="56">
        <v>1546600</v>
      </c>
      <c r="N105" s="53"/>
      <c r="O105" s="55"/>
      <c r="R105" s="55"/>
    </row>
    <row r="106" spans="1:18" x14ac:dyDescent="0.25">
      <c r="A106" s="65">
        <v>445700</v>
      </c>
      <c r="C106" s="45" t="s">
        <v>168</v>
      </c>
      <c r="I106" s="53"/>
      <c r="J106" s="54">
        <v>200432008.28</v>
      </c>
      <c r="M106" s="56">
        <v>279095497.75</v>
      </c>
      <c r="N106" s="53"/>
      <c r="O106" s="55"/>
      <c r="R106" s="54">
        <v>78663489.469999999</v>
      </c>
    </row>
    <row r="107" spans="1:18" x14ac:dyDescent="0.25">
      <c r="A107" s="65">
        <v>445800</v>
      </c>
      <c r="C107" s="45" t="s">
        <v>1772</v>
      </c>
      <c r="I107" s="53"/>
      <c r="J107" s="54">
        <v>37794850.880000003</v>
      </c>
      <c r="M107" s="56">
        <v>38164918.880000003</v>
      </c>
      <c r="N107" s="53"/>
      <c r="O107" s="55"/>
      <c r="R107" s="54">
        <v>370068</v>
      </c>
    </row>
    <row r="108" spans="1:18" x14ac:dyDescent="0.25">
      <c r="A108" s="65">
        <v>445801</v>
      </c>
      <c r="C108" s="45" t="s">
        <v>169</v>
      </c>
      <c r="I108" s="53"/>
      <c r="J108" s="54">
        <v>3990357.8099999996</v>
      </c>
      <c r="M108" s="56">
        <v>3990357.81</v>
      </c>
      <c r="N108" s="53"/>
      <c r="O108" s="55"/>
      <c r="R108" s="55"/>
    </row>
    <row r="109" spans="1:18" x14ac:dyDescent="0.25">
      <c r="A109" s="65">
        <v>447000</v>
      </c>
      <c r="C109" s="45" t="s">
        <v>170</v>
      </c>
      <c r="I109" s="53"/>
      <c r="J109" s="54">
        <v>56141350</v>
      </c>
      <c r="M109" s="56">
        <v>63116150</v>
      </c>
      <c r="N109" s="53"/>
      <c r="O109" s="55"/>
      <c r="R109" s="54">
        <v>6974800</v>
      </c>
    </row>
    <row r="110" spans="1:18" x14ac:dyDescent="0.25">
      <c r="A110" s="65">
        <v>460102</v>
      </c>
      <c r="C110" s="45" t="s">
        <v>224</v>
      </c>
      <c r="I110" s="53"/>
      <c r="J110" s="54">
        <v>305231350.02999997</v>
      </c>
      <c r="M110" s="56">
        <v>305231350.02999997</v>
      </c>
      <c r="N110" s="53"/>
      <c r="O110" s="55"/>
      <c r="R110" s="55"/>
    </row>
    <row r="111" spans="1:18" x14ac:dyDescent="0.25">
      <c r="A111" s="65">
        <v>460103</v>
      </c>
      <c r="C111" s="45" t="s">
        <v>212</v>
      </c>
      <c r="I111" s="53"/>
      <c r="J111" s="54">
        <v>3938247873</v>
      </c>
      <c r="M111" s="56">
        <v>3447477058</v>
      </c>
      <c r="N111" s="53"/>
      <c r="O111" s="54">
        <v>490770815</v>
      </c>
      <c r="R111" s="55"/>
    </row>
    <row r="112" spans="1:18" x14ac:dyDescent="0.25">
      <c r="A112" s="65">
        <v>460110</v>
      </c>
      <c r="C112" s="45" t="s">
        <v>53</v>
      </c>
      <c r="I112" s="53"/>
      <c r="J112" s="54">
        <v>501104188.92000002</v>
      </c>
      <c r="M112" s="56">
        <v>470825587.92000002</v>
      </c>
      <c r="N112" s="53"/>
      <c r="O112" s="54">
        <v>30278601</v>
      </c>
      <c r="R112" s="55"/>
    </row>
    <row r="113" spans="1:18" x14ac:dyDescent="0.25">
      <c r="A113" s="65">
        <v>460120</v>
      </c>
      <c r="C113" s="45" t="s">
        <v>213</v>
      </c>
      <c r="I113" s="53"/>
      <c r="J113" s="54">
        <v>12896307.68</v>
      </c>
      <c r="M113" s="56">
        <v>12896307.68</v>
      </c>
      <c r="N113" s="53"/>
      <c r="O113" s="55"/>
      <c r="R113" s="55"/>
    </row>
    <row r="114" spans="1:18" x14ac:dyDescent="0.25">
      <c r="A114" s="65">
        <v>460122</v>
      </c>
      <c r="C114" s="45" t="s">
        <v>54</v>
      </c>
      <c r="I114" s="53"/>
      <c r="J114" s="54">
        <v>52000000</v>
      </c>
      <c r="M114" s="56">
        <v>52000000</v>
      </c>
      <c r="N114" s="53"/>
      <c r="O114" s="55"/>
      <c r="R114" s="55"/>
    </row>
    <row r="115" spans="1:18" x14ac:dyDescent="0.25">
      <c r="A115" s="65">
        <v>460124</v>
      </c>
      <c r="C115" s="45" t="s">
        <v>123</v>
      </c>
      <c r="I115" s="53"/>
      <c r="J115" s="54">
        <v>54615613.799999997</v>
      </c>
      <c r="M115" s="56">
        <v>37334620.200000003</v>
      </c>
      <c r="N115" s="53"/>
      <c r="O115" s="54">
        <v>17280993.599999994</v>
      </c>
      <c r="R115" s="55"/>
    </row>
    <row r="116" spans="1:18" x14ac:dyDescent="0.25">
      <c r="A116" s="65">
        <v>460130</v>
      </c>
      <c r="C116" s="45" t="s">
        <v>55</v>
      </c>
      <c r="I116" s="53"/>
      <c r="J116" s="54">
        <v>309883197.73000002</v>
      </c>
      <c r="M116" s="56">
        <v>309883197.73000002</v>
      </c>
      <c r="N116" s="53"/>
      <c r="O116" s="55"/>
      <c r="R116" s="55"/>
    </row>
    <row r="117" spans="1:18" x14ac:dyDescent="0.25">
      <c r="A117" s="65">
        <v>460140</v>
      </c>
      <c r="C117" s="45" t="s">
        <v>1773</v>
      </c>
      <c r="I117" s="53"/>
      <c r="J117" s="54">
        <v>91062101</v>
      </c>
      <c r="M117" s="57"/>
      <c r="N117" s="53"/>
      <c r="O117" s="54">
        <v>91062101</v>
      </c>
      <c r="R117" s="55"/>
    </row>
    <row r="118" spans="1:18" x14ac:dyDescent="0.25">
      <c r="A118" s="65">
        <v>460145</v>
      </c>
      <c r="C118" s="45" t="s">
        <v>56</v>
      </c>
      <c r="I118" s="53"/>
      <c r="J118" s="54">
        <v>77479060</v>
      </c>
      <c r="M118" s="56">
        <v>65000000</v>
      </c>
      <c r="N118" s="53"/>
      <c r="O118" s="54">
        <v>12479060</v>
      </c>
      <c r="R118" s="55"/>
    </row>
    <row r="119" spans="1:18" x14ac:dyDescent="0.25">
      <c r="A119" s="65">
        <v>460150</v>
      </c>
      <c r="C119" s="45" t="s">
        <v>57</v>
      </c>
      <c r="I119" s="53"/>
      <c r="J119" s="54">
        <v>100565777.38</v>
      </c>
      <c r="M119" s="56">
        <v>88258703</v>
      </c>
      <c r="N119" s="53"/>
      <c r="O119" s="54">
        <v>12307074.379999995</v>
      </c>
      <c r="R119" s="55"/>
    </row>
    <row r="120" spans="1:18" x14ac:dyDescent="0.25">
      <c r="A120" s="65">
        <v>460180</v>
      </c>
      <c r="C120" s="45" t="s">
        <v>58</v>
      </c>
      <c r="I120" s="53"/>
      <c r="J120" s="54">
        <v>180959213.82999998</v>
      </c>
      <c r="M120" s="56">
        <v>180959213.83000001</v>
      </c>
      <c r="N120" s="53"/>
      <c r="O120" s="55"/>
      <c r="R120" s="55"/>
    </row>
    <row r="121" spans="1:18" x14ac:dyDescent="0.25">
      <c r="A121" s="65">
        <v>460190</v>
      </c>
      <c r="C121" s="45" t="s">
        <v>59</v>
      </c>
      <c r="I121" s="53"/>
      <c r="J121" s="54">
        <v>35290237.799999997</v>
      </c>
      <c r="M121" s="56">
        <v>35290237.799999997</v>
      </c>
      <c r="N121" s="53"/>
      <c r="O121" s="55"/>
      <c r="R121" s="55"/>
    </row>
    <row r="122" spans="1:18" x14ac:dyDescent="0.25">
      <c r="A122" s="65">
        <v>460201</v>
      </c>
      <c r="C122" s="45" t="s">
        <v>60</v>
      </c>
      <c r="I122" s="53"/>
      <c r="J122" s="54">
        <v>118327282.55</v>
      </c>
      <c r="M122" s="56">
        <v>100541202</v>
      </c>
      <c r="N122" s="53"/>
      <c r="O122" s="54">
        <v>17786080.549999997</v>
      </c>
      <c r="R122" s="55"/>
    </row>
    <row r="123" spans="1:18" x14ac:dyDescent="0.25">
      <c r="A123" s="65">
        <v>460202</v>
      </c>
      <c r="C123" s="45" t="s">
        <v>61</v>
      </c>
      <c r="I123" s="53"/>
      <c r="J123" s="54">
        <v>23231300</v>
      </c>
      <c r="M123" s="56">
        <v>17472750</v>
      </c>
      <c r="N123" s="53"/>
      <c r="O123" s="54">
        <v>5758550</v>
      </c>
      <c r="R123" s="55"/>
    </row>
    <row r="124" spans="1:18" x14ac:dyDescent="0.25">
      <c r="A124" s="65">
        <v>460204</v>
      </c>
      <c r="C124" s="45" t="s">
        <v>43</v>
      </c>
      <c r="I124" s="53"/>
      <c r="J124" s="54">
        <v>7809099</v>
      </c>
      <c r="M124" s="56">
        <v>6999919</v>
      </c>
      <c r="N124" s="53"/>
      <c r="O124" s="54">
        <v>809180</v>
      </c>
      <c r="R124" s="55"/>
    </row>
    <row r="125" spans="1:18" x14ac:dyDescent="0.25">
      <c r="A125" s="65">
        <v>460205</v>
      </c>
      <c r="C125" s="45" t="s">
        <v>44</v>
      </c>
      <c r="I125" s="53"/>
      <c r="J125" s="54">
        <v>683197</v>
      </c>
      <c r="M125" s="56">
        <v>683197</v>
      </c>
      <c r="N125" s="53"/>
      <c r="O125" s="55"/>
      <c r="R125" s="55"/>
    </row>
    <row r="126" spans="1:18" x14ac:dyDescent="0.25">
      <c r="A126" s="65">
        <v>460206</v>
      </c>
      <c r="C126" s="45" t="s">
        <v>45</v>
      </c>
      <c r="I126" s="53"/>
      <c r="J126" s="54">
        <v>29580000</v>
      </c>
      <c r="M126" s="56">
        <v>19800000</v>
      </c>
      <c r="N126" s="53"/>
      <c r="O126" s="54">
        <v>9780000</v>
      </c>
      <c r="R126" s="55"/>
    </row>
    <row r="127" spans="1:18" x14ac:dyDescent="0.25">
      <c r="A127" s="65">
        <v>460207</v>
      </c>
      <c r="C127" s="45" t="s">
        <v>46</v>
      </c>
      <c r="I127" s="53"/>
      <c r="J127" s="54">
        <v>6000000</v>
      </c>
      <c r="M127" s="56">
        <v>4500000</v>
      </c>
      <c r="N127" s="53"/>
      <c r="O127" s="54">
        <v>1500000</v>
      </c>
      <c r="R127" s="55"/>
    </row>
    <row r="128" spans="1:18" x14ac:dyDescent="0.25">
      <c r="A128" s="65">
        <v>460210</v>
      </c>
      <c r="C128" s="45" t="s">
        <v>62</v>
      </c>
      <c r="I128" s="53"/>
      <c r="J128" s="54">
        <v>20012212.600000001</v>
      </c>
      <c r="M128" s="56">
        <v>20012212.600000001</v>
      </c>
      <c r="N128" s="53"/>
      <c r="O128" s="55"/>
      <c r="R128" s="55"/>
    </row>
    <row r="129" spans="1:18" x14ac:dyDescent="0.25">
      <c r="A129" s="65">
        <v>460211</v>
      </c>
      <c r="C129" s="45" t="s">
        <v>1774</v>
      </c>
      <c r="I129" s="53"/>
      <c r="J129" s="54">
        <v>13479153.84</v>
      </c>
      <c r="M129" s="57"/>
      <c r="N129" s="53"/>
      <c r="O129" s="54">
        <v>13479153.84</v>
      </c>
      <c r="R129" s="55"/>
    </row>
    <row r="130" spans="1:18" x14ac:dyDescent="0.25">
      <c r="A130" s="65">
        <v>460220</v>
      </c>
      <c r="C130" s="45" t="s">
        <v>63</v>
      </c>
      <c r="I130" s="53"/>
      <c r="J130" s="54">
        <v>44508005.159999996</v>
      </c>
      <c r="M130" s="56">
        <v>32626340.5</v>
      </c>
      <c r="N130" s="53"/>
      <c r="O130" s="54">
        <v>11881664.659999996</v>
      </c>
      <c r="R130" s="55"/>
    </row>
    <row r="131" spans="1:18" x14ac:dyDescent="0.25">
      <c r="A131" s="65">
        <v>460222</v>
      </c>
      <c r="C131" s="45" t="s">
        <v>214</v>
      </c>
      <c r="I131" s="53"/>
      <c r="J131" s="54">
        <v>43199991.450000003</v>
      </c>
      <c r="M131" s="56">
        <v>43199991.450000003</v>
      </c>
      <c r="N131" s="53"/>
      <c r="O131" s="55"/>
      <c r="R131" s="55"/>
    </row>
    <row r="132" spans="1:18" x14ac:dyDescent="0.25">
      <c r="A132" s="65">
        <v>460223</v>
      </c>
      <c r="C132" s="45" t="s">
        <v>1741</v>
      </c>
      <c r="I132" s="53"/>
      <c r="J132" s="54">
        <v>2637051.9</v>
      </c>
      <c r="M132" s="56">
        <v>1661320</v>
      </c>
      <c r="N132" s="53"/>
      <c r="O132" s="54">
        <v>975731.89999999991</v>
      </c>
      <c r="R132" s="55"/>
    </row>
    <row r="133" spans="1:18" x14ac:dyDescent="0.25">
      <c r="A133" s="65">
        <v>460230</v>
      </c>
      <c r="C133" s="45" t="s">
        <v>64</v>
      </c>
      <c r="I133" s="53"/>
      <c r="J133" s="54">
        <v>59361954.5</v>
      </c>
      <c r="M133" s="56">
        <v>57151954.5</v>
      </c>
      <c r="N133" s="53"/>
      <c r="O133" s="54">
        <v>2210000</v>
      </c>
      <c r="R133" s="55"/>
    </row>
    <row r="134" spans="1:18" x14ac:dyDescent="0.25">
      <c r="A134" s="65">
        <v>460240</v>
      </c>
      <c r="C134" s="45" t="s">
        <v>65</v>
      </c>
      <c r="I134" s="53"/>
      <c r="J134" s="54">
        <v>21225648.280000001</v>
      </c>
      <c r="M134" s="56">
        <v>19705648.280000001</v>
      </c>
      <c r="N134" s="53"/>
      <c r="O134" s="54">
        <v>1520000</v>
      </c>
      <c r="R134" s="55"/>
    </row>
    <row r="135" spans="1:18" x14ac:dyDescent="0.25">
      <c r="A135" s="65">
        <v>460250</v>
      </c>
      <c r="C135" s="45" t="s">
        <v>66</v>
      </c>
      <c r="I135" s="53"/>
      <c r="J135" s="54">
        <v>9583762.9699999988</v>
      </c>
      <c r="M135" s="56">
        <v>8183762.9699999997</v>
      </c>
      <c r="N135" s="53"/>
      <c r="O135" s="54">
        <v>1399999.9999999991</v>
      </c>
      <c r="R135" s="55"/>
    </row>
    <row r="136" spans="1:18" x14ac:dyDescent="0.25">
      <c r="A136" s="65">
        <v>460260</v>
      </c>
      <c r="C136" s="45" t="s">
        <v>67</v>
      </c>
      <c r="I136" s="53"/>
      <c r="J136" s="54">
        <v>151118020.09999999</v>
      </c>
      <c r="M136" s="56">
        <v>147458020.09999999</v>
      </c>
      <c r="N136" s="53"/>
      <c r="O136" s="54">
        <v>3660000</v>
      </c>
      <c r="R136" s="55"/>
    </row>
    <row r="137" spans="1:18" x14ac:dyDescent="0.25">
      <c r="A137" s="65">
        <v>460262</v>
      </c>
      <c r="C137" s="45" t="s">
        <v>215</v>
      </c>
      <c r="I137" s="53"/>
      <c r="J137" s="54">
        <v>7720572.96</v>
      </c>
      <c r="M137" s="56">
        <v>4900815.9000000004</v>
      </c>
      <c r="N137" s="53"/>
      <c r="O137" s="54">
        <v>2819757.0599999996</v>
      </c>
      <c r="R137" s="55"/>
    </row>
    <row r="138" spans="1:18" x14ac:dyDescent="0.25">
      <c r="A138" s="65">
        <v>460270</v>
      </c>
      <c r="C138" s="45" t="s">
        <v>68</v>
      </c>
      <c r="I138" s="53"/>
      <c r="J138" s="54">
        <v>14990068.82</v>
      </c>
      <c r="M138" s="56">
        <v>14990068.82</v>
      </c>
      <c r="N138" s="53"/>
      <c r="O138" s="55"/>
      <c r="R138" s="55"/>
    </row>
    <row r="139" spans="1:18" x14ac:dyDescent="0.25">
      <c r="A139" s="65">
        <v>460271</v>
      </c>
      <c r="C139" s="45" t="s">
        <v>216</v>
      </c>
      <c r="I139" s="53"/>
      <c r="J139" s="54">
        <v>8590889.5</v>
      </c>
      <c r="M139" s="56">
        <v>8590889</v>
      </c>
      <c r="N139" s="53"/>
      <c r="O139" s="54">
        <v>0.5</v>
      </c>
      <c r="R139" s="55"/>
    </row>
    <row r="140" spans="1:18" x14ac:dyDescent="0.25">
      <c r="A140" s="65">
        <v>460272</v>
      </c>
      <c r="C140" s="45" t="s">
        <v>1775</v>
      </c>
      <c r="I140" s="53"/>
      <c r="J140" s="54">
        <v>369845.6</v>
      </c>
      <c r="M140" s="57"/>
      <c r="N140" s="53"/>
      <c r="O140" s="54">
        <v>369845.6</v>
      </c>
      <c r="R140" s="55"/>
    </row>
    <row r="141" spans="1:18" x14ac:dyDescent="0.25">
      <c r="A141" s="65">
        <v>460320</v>
      </c>
      <c r="C141" s="45" t="s">
        <v>140</v>
      </c>
      <c r="I141" s="53"/>
      <c r="J141" s="54">
        <v>125212100</v>
      </c>
      <c r="M141" s="56">
        <v>125212100</v>
      </c>
      <c r="N141" s="53"/>
      <c r="O141" s="55"/>
      <c r="R141" s="55"/>
    </row>
    <row r="142" spans="1:18" x14ac:dyDescent="0.25">
      <c r="A142" s="65">
        <v>460321</v>
      </c>
      <c r="C142" s="45" t="s">
        <v>137</v>
      </c>
      <c r="I142" s="53"/>
      <c r="J142" s="54">
        <v>138146600</v>
      </c>
      <c r="M142" s="56">
        <v>138146600</v>
      </c>
      <c r="N142" s="53"/>
      <c r="O142" s="55"/>
      <c r="R142" s="55"/>
    </row>
    <row r="143" spans="1:18" x14ac:dyDescent="0.25">
      <c r="A143" s="65">
        <v>460322</v>
      </c>
      <c r="C143" s="45" t="s">
        <v>69</v>
      </c>
      <c r="I143" s="53"/>
      <c r="J143" s="54">
        <v>67588364.799999997</v>
      </c>
      <c r="M143" s="56">
        <v>67588364.799999997</v>
      </c>
      <c r="N143" s="53"/>
      <c r="O143" s="55"/>
      <c r="R143" s="55"/>
    </row>
    <row r="144" spans="1:18" x14ac:dyDescent="0.25">
      <c r="A144" s="65">
        <v>460330</v>
      </c>
      <c r="C144" s="45" t="s">
        <v>70</v>
      </c>
      <c r="I144" s="53"/>
      <c r="J144" s="54">
        <v>85170000</v>
      </c>
      <c r="M144" s="56">
        <v>85170000</v>
      </c>
      <c r="N144" s="53"/>
      <c r="O144" s="55"/>
      <c r="R144" s="55"/>
    </row>
    <row r="145" spans="1:18" x14ac:dyDescent="0.25">
      <c r="A145" s="65">
        <v>460332</v>
      </c>
      <c r="C145" s="45" t="s">
        <v>1776</v>
      </c>
      <c r="I145" s="53"/>
      <c r="J145" s="54">
        <v>1680000</v>
      </c>
      <c r="M145" s="57"/>
      <c r="N145" s="53"/>
      <c r="O145" s="54">
        <v>1680000</v>
      </c>
      <c r="R145" s="55"/>
    </row>
    <row r="146" spans="1:18" x14ac:dyDescent="0.25">
      <c r="A146" s="65">
        <v>460340</v>
      </c>
      <c r="C146" s="45" t="s">
        <v>71</v>
      </c>
      <c r="I146" s="53"/>
      <c r="J146" s="54">
        <v>2700000</v>
      </c>
      <c r="M146" s="56">
        <v>2160000</v>
      </c>
      <c r="N146" s="53"/>
      <c r="O146" s="54">
        <v>540000</v>
      </c>
      <c r="R146" s="55"/>
    </row>
    <row r="147" spans="1:18" x14ac:dyDescent="0.25">
      <c r="A147" s="65">
        <v>460350</v>
      </c>
      <c r="C147" s="45" t="s">
        <v>72</v>
      </c>
      <c r="I147" s="53"/>
      <c r="J147" s="54">
        <v>12040000</v>
      </c>
      <c r="M147" s="56">
        <v>9030000</v>
      </c>
      <c r="N147" s="53"/>
      <c r="O147" s="54">
        <v>3010000</v>
      </c>
      <c r="R147" s="55"/>
    </row>
    <row r="148" spans="1:18" x14ac:dyDescent="0.25">
      <c r="A148" s="65">
        <v>460360</v>
      </c>
      <c r="C148" s="45" t="s">
        <v>73</v>
      </c>
      <c r="I148" s="53"/>
      <c r="J148" s="54">
        <v>61490000</v>
      </c>
      <c r="M148" s="56">
        <v>61490000</v>
      </c>
      <c r="N148" s="53"/>
      <c r="O148" s="55"/>
      <c r="R148" s="55"/>
    </row>
    <row r="149" spans="1:18" x14ac:dyDescent="0.25">
      <c r="A149" s="65">
        <v>460370</v>
      </c>
      <c r="C149" s="45" t="s">
        <v>74</v>
      </c>
      <c r="I149" s="53"/>
      <c r="J149" s="54">
        <v>74630636</v>
      </c>
      <c r="M149" s="56">
        <v>74630636</v>
      </c>
      <c r="N149" s="53"/>
      <c r="O149" s="55"/>
      <c r="R149" s="55"/>
    </row>
    <row r="150" spans="1:18" x14ac:dyDescent="0.25">
      <c r="A150" s="65">
        <v>460400</v>
      </c>
      <c r="C150" s="45" t="s">
        <v>75</v>
      </c>
      <c r="I150" s="53"/>
      <c r="J150" s="54">
        <v>145918541</v>
      </c>
      <c r="M150" s="56">
        <v>145918541</v>
      </c>
      <c r="N150" s="53"/>
      <c r="O150" s="55"/>
      <c r="R150" s="55"/>
    </row>
    <row r="151" spans="1:18" x14ac:dyDescent="0.25">
      <c r="A151" s="65">
        <v>460601</v>
      </c>
      <c r="C151" s="45" t="s">
        <v>195</v>
      </c>
      <c r="I151" s="53"/>
      <c r="J151" s="54">
        <v>81912529.829999998</v>
      </c>
      <c r="M151" s="56">
        <v>68002529.829999998</v>
      </c>
      <c r="N151" s="53"/>
      <c r="O151" s="54">
        <v>13910000</v>
      </c>
      <c r="R151" s="55"/>
    </row>
    <row r="152" spans="1:18" x14ac:dyDescent="0.25">
      <c r="A152" s="65">
        <v>460602</v>
      </c>
      <c r="C152" s="45" t="s">
        <v>205</v>
      </c>
      <c r="I152" s="53"/>
      <c r="J152" s="54">
        <v>35611532</v>
      </c>
      <c r="M152" s="56">
        <v>35611532</v>
      </c>
      <c r="N152" s="53"/>
      <c r="O152" s="55"/>
      <c r="R152" s="55"/>
    </row>
    <row r="153" spans="1:18" x14ac:dyDescent="0.25">
      <c r="A153" s="65">
        <v>460603</v>
      </c>
      <c r="C153" s="45" t="s">
        <v>217</v>
      </c>
      <c r="I153" s="53"/>
      <c r="J153" s="54">
        <v>102640000</v>
      </c>
      <c r="M153" s="56">
        <v>102640000</v>
      </c>
      <c r="N153" s="53"/>
      <c r="O153" s="55"/>
      <c r="R153" s="55"/>
    </row>
    <row r="154" spans="1:18" x14ac:dyDescent="0.25">
      <c r="A154" s="65">
        <v>460700</v>
      </c>
      <c r="C154" s="45" t="s">
        <v>1777</v>
      </c>
      <c r="I154" s="53"/>
      <c r="J154" s="54">
        <v>58500000</v>
      </c>
      <c r="M154" s="56">
        <v>39000000</v>
      </c>
      <c r="N154" s="53"/>
      <c r="O154" s="54">
        <v>19500000</v>
      </c>
      <c r="R154" s="55"/>
    </row>
    <row r="155" spans="1:18" x14ac:dyDescent="0.25">
      <c r="A155" s="65">
        <v>460710</v>
      </c>
      <c r="C155" s="45" t="s">
        <v>190</v>
      </c>
      <c r="I155" s="53"/>
      <c r="J155" s="54">
        <v>10510200</v>
      </c>
      <c r="M155" s="57"/>
      <c r="N155" s="53"/>
      <c r="O155" s="54">
        <v>10510200</v>
      </c>
      <c r="R155" s="55"/>
    </row>
    <row r="156" spans="1:18" x14ac:dyDescent="0.25">
      <c r="A156" s="65">
        <v>460800</v>
      </c>
      <c r="C156" s="45" t="s">
        <v>76</v>
      </c>
      <c r="I156" s="53"/>
      <c r="J156" s="54">
        <v>72899627.519999996</v>
      </c>
      <c r="M156" s="56">
        <v>92399627.519999996</v>
      </c>
      <c r="N156" s="53"/>
      <c r="O156" s="55"/>
      <c r="R156" s="54">
        <v>19500000</v>
      </c>
    </row>
    <row r="157" spans="1:18" x14ac:dyDescent="0.25">
      <c r="A157" s="65">
        <v>460802</v>
      </c>
      <c r="C157" s="45" t="s">
        <v>1743</v>
      </c>
      <c r="I157" s="53"/>
      <c r="J157" s="54">
        <v>12774350</v>
      </c>
      <c r="M157" s="56">
        <v>12557450</v>
      </c>
      <c r="N157" s="53"/>
      <c r="O157" s="54">
        <v>216900</v>
      </c>
      <c r="R157" s="55"/>
    </row>
    <row r="158" spans="1:18" x14ac:dyDescent="0.25">
      <c r="A158" s="65">
        <v>460900</v>
      </c>
      <c r="C158" s="45" t="s">
        <v>77</v>
      </c>
      <c r="I158" s="53"/>
      <c r="J158" s="54">
        <v>902412726.20000005</v>
      </c>
      <c r="M158" s="56">
        <v>902412726.20000005</v>
      </c>
      <c r="N158" s="53"/>
      <c r="O158" s="55"/>
      <c r="R158" s="55"/>
    </row>
    <row r="159" spans="1:18" x14ac:dyDescent="0.25">
      <c r="A159" s="65">
        <v>460910</v>
      </c>
      <c r="C159" s="45" t="s">
        <v>52</v>
      </c>
      <c r="I159" s="53"/>
      <c r="J159" s="54">
        <v>354110923.56</v>
      </c>
      <c r="M159" s="56">
        <v>364011594.02999997</v>
      </c>
      <c r="N159" s="53"/>
      <c r="O159" s="55"/>
      <c r="R159" s="54">
        <v>9900670.469999969</v>
      </c>
    </row>
    <row r="160" spans="1:18" x14ac:dyDescent="0.25">
      <c r="A160" s="65">
        <v>460921</v>
      </c>
      <c r="C160" s="45" t="s">
        <v>141</v>
      </c>
      <c r="I160" s="53"/>
      <c r="J160" s="54">
        <v>22126837</v>
      </c>
      <c r="M160" s="56">
        <v>22126837</v>
      </c>
      <c r="N160" s="53"/>
      <c r="O160" s="55"/>
      <c r="R160" s="55"/>
    </row>
    <row r="161" spans="1:18" x14ac:dyDescent="0.25">
      <c r="A161" s="65">
        <v>462103</v>
      </c>
      <c r="C161" s="45" t="s">
        <v>1778</v>
      </c>
      <c r="I161" s="53"/>
      <c r="J161" s="55"/>
      <c r="M161" s="56">
        <v>1837937</v>
      </c>
      <c r="N161" s="53"/>
      <c r="O161" s="55"/>
      <c r="R161" s="54">
        <v>1837937</v>
      </c>
    </row>
    <row r="162" spans="1:18" x14ac:dyDescent="0.25">
      <c r="A162" s="65">
        <v>462110</v>
      </c>
      <c r="C162" s="45" t="s">
        <v>1779</v>
      </c>
      <c r="I162" s="53"/>
      <c r="J162" s="55"/>
      <c r="M162" s="56">
        <v>170100</v>
      </c>
      <c r="N162" s="53"/>
      <c r="O162" s="55"/>
      <c r="R162" s="54">
        <v>170100</v>
      </c>
    </row>
    <row r="163" spans="1:18" x14ac:dyDescent="0.25">
      <c r="A163" s="65">
        <v>462121</v>
      </c>
      <c r="C163" s="45" t="s">
        <v>1780</v>
      </c>
      <c r="I163" s="53"/>
      <c r="J163" s="55"/>
      <c r="M163" s="56">
        <v>3765734</v>
      </c>
      <c r="N163" s="53"/>
      <c r="O163" s="55"/>
      <c r="R163" s="54">
        <v>3765734</v>
      </c>
    </row>
    <row r="164" spans="1:18" x14ac:dyDescent="0.25">
      <c r="A164" s="65">
        <v>462123</v>
      </c>
      <c r="C164" s="45" t="s">
        <v>1781</v>
      </c>
      <c r="I164" s="53"/>
      <c r="J164" s="55"/>
      <c r="M164" s="56">
        <v>201300</v>
      </c>
      <c r="N164" s="53"/>
      <c r="O164" s="55"/>
      <c r="R164" s="54">
        <v>201300</v>
      </c>
    </row>
    <row r="165" spans="1:18" x14ac:dyDescent="0.25">
      <c r="A165" s="65">
        <v>462130</v>
      </c>
      <c r="C165" s="45" t="s">
        <v>1782</v>
      </c>
      <c r="I165" s="53"/>
      <c r="J165" s="55"/>
      <c r="M165" s="56">
        <v>32000</v>
      </c>
      <c r="N165" s="53"/>
      <c r="O165" s="55"/>
      <c r="R165" s="54">
        <v>32000</v>
      </c>
    </row>
    <row r="166" spans="1:18" x14ac:dyDescent="0.25">
      <c r="A166" s="65">
        <v>462140</v>
      </c>
      <c r="C166" s="45" t="s">
        <v>1783</v>
      </c>
      <c r="I166" s="53"/>
      <c r="J166" s="55"/>
      <c r="M166" s="56">
        <v>5788333</v>
      </c>
      <c r="N166" s="53"/>
      <c r="O166" s="55"/>
      <c r="R166" s="54">
        <v>5788333</v>
      </c>
    </row>
    <row r="167" spans="1:18" x14ac:dyDescent="0.25">
      <c r="A167" s="65">
        <v>462145</v>
      </c>
      <c r="C167" s="45" t="s">
        <v>1784</v>
      </c>
      <c r="I167" s="53"/>
      <c r="J167" s="55"/>
      <c r="M167" s="56">
        <v>23797</v>
      </c>
      <c r="N167" s="53"/>
      <c r="O167" s="55"/>
      <c r="R167" s="54">
        <v>23797</v>
      </c>
    </row>
    <row r="168" spans="1:18" x14ac:dyDescent="0.25">
      <c r="A168" s="65">
        <v>462150</v>
      </c>
      <c r="C168" s="45" t="s">
        <v>1785</v>
      </c>
      <c r="I168" s="53"/>
      <c r="J168" s="55"/>
      <c r="M168" s="56">
        <v>320100</v>
      </c>
      <c r="N168" s="53"/>
      <c r="O168" s="55"/>
      <c r="R168" s="54">
        <v>320100</v>
      </c>
    </row>
    <row r="169" spans="1:18" x14ac:dyDescent="0.25">
      <c r="A169" s="65">
        <v>462180</v>
      </c>
      <c r="C169" s="45" t="s">
        <v>1786</v>
      </c>
      <c r="I169" s="53"/>
      <c r="J169" s="55"/>
      <c r="M169" s="56">
        <v>1866240</v>
      </c>
      <c r="N169" s="53"/>
      <c r="O169" s="55"/>
      <c r="R169" s="54">
        <v>1866240</v>
      </c>
    </row>
    <row r="170" spans="1:18" x14ac:dyDescent="0.25">
      <c r="A170" s="65">
        <v>462190</v>
      </c>
      <c r="C170" s="45" t="s">
        <v>1787</v>
      </c>
      <c r="I170" s="53"/>
      <c r="J170" s="55"/>
      <c r="M170" s="56">
        <v>374880</v>
      </c>
      <c r="N170" s="53"/>
      <c r="O170" s="55"/>
      <c r="R170" s="54">
        <v>374880</v>
      </c>
    </row>
    <row r="171" spans="1:18" x14ac:dyDescent="0.25">
      <c r="A171" s="65">
        <v>462201</v>
      </c>
      <c r="C171" s="45" t="s">
        <v>1788</v>
      </c>
      <c r="I171" s="53"/>
      <c r="J171" s="54">
        <v>1202956</v>
      </c>
      <c r="M171" s="56">
        <v>1838160</v>
      </c>
      <c r="N171" s="53"/>
      <c r="O171" s="55"/>
      <c r="R171" s="54">
        <v>635204</v>
      </c>
    </row>
    <row r="172" spans="1:18" x14ac:dyDescent="0.25">
      <c r="A172" s="65">
        <v>462206</v>
      </c>
      <c r="C172" s="45" t="s">
        <v>1789</v>
      </c>
      <c r="I172" s="53"/>
      <c r="J172" s="55"/>
      <c r="M172" s="56">
        <v>1449060</v>
      </c>
      <c r="N172" s="53"/>
      <c r="O172" s="55"/>
      <c r="R172" s="54">
        <v>1449060</v>
      </c>
    </row>
    <row r="173" spans="1:18" x14ac:dyDescent="0.25">
      <c r="A173" s="65">
        <v>462220</v>
      </c>
      <c r="C173" s="45" t="s">
        <v>1790</v>
      </c>
      <c r="I173" s="53"/>
      <c r="J173" s="55"/>
      <c r="M173" s="56">
        <v>2472600</v>
      </c>
      <c r="N173" s="53"/>
      <c r="O173" s="55"/>
      <c r="R173" s="54">
        <v>2472600</v>
      </c>
    </row>
    <row r="174" spans="1:18" x14ac:dyDescent="0.25">
      <c r="A174" s="65">
        <v>462240</v>
      </c>
      <c r="C174" s="45" t="s">
        <v>1791</v>
      </c>
      <c r="I174" s="53"/>
      <c r="J174" s="55"/>
      <c r="M174" s="56">
        <v>1070918</v>
      </c>
      <c r="N174" s="53"/>
      <c r="O174" s="55"/>
      <c r="R174" s="54">
        <v>1070918</v>
      </c>
    </row>
    <row r="175" spans="1:18" x14ac:dyDescent="0.25">
      <c r="A175" s="65">
        <v>462260</v>
      </c>
      <c r="C175" s="45" t="s">
        <v>1792</v>
      </c>
      <c r="I175" s="53"/>
      <c r="J175" s="55"/>
      <c r="M175" s="56">
        <v>128850</v>
      </c>
      <c r="N175" s="53"/>
      <c r="O175" s="55"/>
      <c r="R175" s="54">
        <v>128850</v>
      </c>
    </row>
    <row r="176" spans="1:18" x14ac:dyDescent="0.25">
      <c r="A176" s="65">
        <v>462321</v>
      </c>
      <c r="C176" s="45" t="s">
        <v>1793</v>
      </c>
      <c r="I176" s="53"/>
      <c r="J176" s="55"/>
      <c r="M176" s="56">
        <v>912840</v>
      </c>
      <c r="N176" s="53"/>
      <c r="O176" s="55"/>
      <c r="R176" s="54">
        <v>912840</v>
      </c>
    </row>
    <row r="177" spans="1:18" x14ac:dyDescent="0.25">
      <c r="A177" s="65">
        <v>462322</v>
      </c>
      <c r="C177" s="45" t="s">
        <v>1794</v>
      </c>
      <c r="I177" s="53"/>
      <c r="J177" s="55"/>
      <c r="M177" s="56">
        <v>33320</v>
      </c>
      <c r="N177" s="53"/>
      <c r="O177" s="55"/>
      <c r="R177" s="54">
        <v>33320</v>
      </c>
    </row>
    <row r="178" spans="1:18" x14ac:dyDescent="0.25">
      <c r="A178" s="65">
        <v>462330</v>
      </c>
      <c r="C178" s="45" t="s">
        <v>1795</v>
      </c>
      <c r="I178" s="53"/>
      <c r="J178" s="55"/>
      <c r="M178" s="56">
        <v>265350</v>
      </c>
      <c r="N178" s="53"/>
      <c r="O178" s="55"/>
      <c r="R178" s="54">
        <v>265350</v>
      </c>
    </row>
    <row r="179" spans="1:18" x14ac:dyDescent="0.25">
      <c r="A179" s="65">
        <v>462340</v>
      </c>
      <c r="C179" s="45" t="s">
        <v>1796</v>
      </c>
      <c r="I179" s="53"/>
      <c r="J179" s="55"/>
      <c r="M179" s="56">
        <v>139880</v>
      </c>
      <c r="N179" s="53"/>
      <c r="O179" s="55"/>
      <c r="R179" s="54">
        <v>139880</v>
      </c>
    </row>
    <row r="180" spans="1:18" x14ac:dyDescent="0.25">
      <c r="A180" s="65">
        <v>462360</v>
      </c>
      <c r="C180" s="45" t="s">
        <v>1813</v>
      </c>
      <c r="I180" s="53"/>
      <c r="J180" s="55"/>
      <c r="M180" s="56">
        <v>69900</v>
      </c>
      <c r="N180" s="53"/>
      <c r="O180" s="55"/>
      <c r="R180" s="54">
        <v>69900</v>
      </c>
    </row>
    <row r="181" spans="1:18" x14ac:dyDescent="0.25">
      <c r="A181" s="65">
        <v>462400</v>
      </c>
      <c r="C181" s="45" t="s">
        <v>1797</v>
      </c>
      <c r="I181" s="53"/>
      <c r="J181" s="55"/>
      <c r="M181" s="56">
        <v>134000</v>
      </c>
      <c r="N181" s="53"/>
      <c r="O181" s="55"/>
      <c r="R181" s="54">
        <v>134000</v>
      </c>
    </row>
    <row r="182" spans="1:18" x14ac:dyDescent="0.25">
      <c r="A182" s="65">
        <v>462601</v>
      </c>
      <c r="C182" s="45" t="s">
        <v>1798</v>
      </c>
      <c r="I182" s="53"/>
      <c r="J182" s="55"/>
      <c r="M182" s="56">
        <v>200000</v>
      </c>
      <c r="N182" s="53"/>
      <c r="O182" s="55"/>
      <c r="R182" s="54">
        <v>200000</v>
      </c>
    </row>
    <row r="183" spans="1:18" x14ac:dyDescent="0.25">
      <c r="A183" s="65">
        <v>462700</v>
      </c>
      <c r="C183" s="45" t="s">
        <v>1799</v>
      </c>
      <c r="I183" s="53"/>
      <c r="J183" s="55"/>
      <c r="M183" s="56">
        <v>718000</v>
      </c>
      <c r="N183" s="53"/>
      <c r="O183" s="55"/>
      <c r="R183" s="54">
        <v>718000</v>
      </c>
    </row>
    <row r="184" spans="1:18" x14ac:dyDescent="0.25">
      <c r="A184" s="65">
        <v>462910</v>
      </c>
      <c r="C184" s="45" t="s">
        <v>1800</v>
      </c>
      <c r="I184" s="53"/>
      <c r="J184" s="55"/>
      <c r="M184" s="56">
        <v>1219767</v>
      </c>
      <c r="N184" s="53"/>
      <c r="O184" s="55"/>
      <c r="R184" s="54">
        <v>1219767</v>
      </c>
    </row>
    <row r="185" spans="1:18" x14ac:dyDescent="0.25">
      <c r="A185" s="65">
        <v>467100</v>
      </c>
      <c r="C185" s="45" t="s">
        <v>142</v>
      </c>
      <c r="I185" s="53"/>
      <c r="J185" s="54">
        <v>1657440780.28</v>
      </c>
      <c r="M185" s="56">
        <v>1601540252</v>
      </c>
      <c r="N185" s="53"/>
      <c r="O185" s="54">
        <v>55900528.279999971</v>
      </c>
      <c r="R185" s="55"/>
    </row>
    <row r="186" spans="1:18" x14ac:dyDescent="0.25">
      <c r="A186" s="65">
        <v>467101</v>
      </c>
      <c r="C186" s="45" t="s">
        <v>1801</v>
      </c>
      <c r="I186" s="53"/>
      <c r="J186" s="55"/>
      <c r="M186" s="56">
        <v>14245429</v>
      </c>
      <c r="N186" s="53"/>
      <c r="O186" s="55"/>
      <c r="R186" s="54">
        <v>14245429</v>
      </c>
    </row>
    <row r="187" spans="1:18" x14ac:dyDescent="0.25">
      <c r="A187" s="65">
        <v>467102</v>
      </c>
      <c r="C187" s="45" t="s">
        <v>218</v>
      </c>
      <c r="I187" s="53"/>
      <c r="J187" s="54">
        <v>488806828.40999997</v>
      </c>
      <c r="M187" s="56">
        <v>558822571.33000004</v>
      </c>
      <c r="N187" s="53"/>
      <c r="O187" s="55"/>
      <c r="R187" s="54">
        <v>70015742.920000076</v>
      </c>
    </row>
    <row r="188" spans="1:18" x14ac:dyDescent="0.25">
      <c r="A188" s="65">
        <v>467103</v>
      </c>
      <c r="C188" s="45" t="s">
        <v>207</v>
      </c>
      <c r="I188" s="53"/>
      <c r="J188" s="54">
        <v>6151220720.5599995</v>
      </c>
      <c r="M188" s="56">
        <v>6798241595</v>
      </c>
      <c r="N188" s="53"/>
      <c r="O188" s="55"/>
      <c r="R188" s="54">
        <v>647020874.44000053</v>
      </c>
    </row>
    <row r="189" spans="1:18" x14ac:dyDescent="0.25">
      <c r="A189" s="65">
        <v>467110</v>
      </c>
      <c r="C189" s="45" t="s">
        <v>3</v>
      </c>
      <c r="I189" s="53"/>
      <c r="J189" s="54">
        <v>1438827991.72</v>
      </c>
      <c r="M189" s="56">
        <v>1471399578.5999999</v>
      </c>
      <c r="N189" s="53"/>
      <c r="O189" s="55"/>
      <c r="R189" s="54">
        <v>32571586.879999876</v>
      </c>
    </row>
    <row r="190" spans="1:18" x14ac:dyDescent="0.25">
      <c r="A190" s="65">
        <v>467120</v>
      </c>
      <c r="C190" s="45" t="s">
        <v>9</v>
      </c>
      <c r="I190" s="53"/>
      <c r="J190" s="54">
        <v>4201.8799999999992</v>
      </c>
      <c r="M190" s="56">
        <v>140476874.93000001</v>
      </c>
      <c r="N190" s="53"/>
      <c r="O190" s="55"/>
      <c r="R190" s="54">
        <v>140472673.05000001</v>
      </c>
    </row>
    <row r="191" spans="1:18" x14ac:dyDescent="0.25">
      <c r="A191" s="65">
        <v>467121</v>
      </c>
      <c r="C191" s="45" t="s">
        <v>11</v>
      </c>
      <c r="I191" s="53"/>
      <c r="J191" s="54">
        <v>557872177.12</v>
      </c>
      <c r="M191" s="56">
        <v>413563801.05000001</v>
      </c>
      <c r="N191" s="53"/>
      <c r="O191" s="54">
        <v>144308376.06999999</v>
      </c>
      <c r="R191" s="55"/>
    </row>
    <row r="192" spans="1:18" x14ac:dyDescent="0.25">
      <c r="A192" s="65">
        <v>467122</v>
      </c>
      <c r="C192" s="45" t="s">
        <v>40</v>
      </c>
      <c r="I192" s="53"/>
      <c r="J192" s="54">
        <v>171424770.95999998</v>
      </c>
      <c r="M192" s="56">
        <v>197846115.53999999</v>
      </c>
      <c r="N192" s="53"/>
      <c r="O192" s="55"/>
      <c r="R192" s="54">
        <v>26421344.580000013</v>
      </c>
    </row>
    <row r="193" spans="1:18" x14ac:dyDescent="0.25">
      <c r="A193" s="65">
        <v>467123</v>
      </c>
      <c r="C193" s="45" t="s">
        <v>1802</v>
      </c>
      <c r="I193" s="53"/>
      <c r="J193" s="54">
        <v>36600815.969999999</v>
      </c>
      <c r="M193" s="56">
        <v>42017003.850000001</v>
      </c>
      <c r="N193" s="53"/>
      <c r="O193" s="55"/>
      <c r="R193" s="54">
        <v>5416187.8800000027</v>
      </c>
    </row>
    <row r="194" spans="1:18" x14ac:dyDescent="0.25">
      <c r="A194" s="65">
        <v>467124</v>
      </c>
      <c r="C194" s="45" t="s">
        <v>124</v>
      </c>
      <c r="I194" s="53"/>
      <c r="J194" s="54">
        <v>161494905.66999999</v>
      </c>
      <c r="M194" s="56">
        <v>181783380.16</v>
      </c>
      <c r="N194" s="53"/>
      <c r="O194" s="55"/>
      <c r="R194" s="54">
        <v>20288474.49000001</v>
      </c>
    </row>
    <row r="195" spans="1:18" x14ac:dyDescent="0.25">
      <c r="A195" s="65">
        <v>467130</v>
      </c>
      <c r="C195" s="45" t="s">
        <v>29</v>
      </c>
      <c r="I195" s="53"/>
      <c r="J195" s="54">
        <v>691935669.45000005</v>
      </c>
      <c r="M195" s="56">
        <v>733628819.49000001</v>
      </c>
      <c r="N195" s="53"/>
      <c r="O195" s="55"/>
      <c r="R195" s="54">
        <v>41693150.039999962</v>
      </c>
    </row>
    <row r="196" spans="1:18" x14ac:dyDescent="0.25">
      <c r="A196" s="65">
        <v>467140</v>
      </c>
      <c r="C196" s="45" t="s">
        <v>20</v>
      </c>
      <c r="I196" s="53"/>
      <c r="J196" s="54">
        <v>7211245422.6800003</v>
      </c>
      <c r="M196" s="56">
        <v>7302684849.0999994</v>
      </c>
      <c r="N196" s="53"/>
      <c r="O196" s="55"/>
      <c r="R196" s="54">
        <v>91439426.419999123</v>
      </c>
    </row>
    <row r="197" spans="1:18" x14ac:dyDescent="0.25">
      <c r="A197" s="65">
        <v>467142</v>
      </c>
      <c r="C197" s="45" t="s">
        <v>1803</v>
      </c>
      <c r="I197" s="53"/>
      <c r="J197" s="54">
        <v>51931582.93</v>
      </c>
      <c r="M197" s="56">
        <v>51526616.810000002</v>
      </c>
      <c r="N197" s="53"/>
      <c r="O197" s="54">
        <v>404966.11999999732</v>
      </c>
      <c r="R197" s="55"/>
    </row>
    <row r="198" spans="1:18" x14ac:dyDescent="0.25">
      <c r="A198" s="65">
        <v>467145</v>
      </c>
      <c r="C198" s="45" t="s">
        <v>21</v>
      </c>
      <c r="I198" s="53"/>
      <c r="J198" s="54">
        <v>1247242546.8</v>
      </c>
      <c r="M198" s="56">
        <v>1267502539.0799999</v>
      </c>
      <c r="N198" s="53"/>
      <c r="O198" s="55"/>
      <c r="R198" s="54">
        <v>20259992.279999971</v>
      </c>
    </row>
    <row r="199" spans="1:18" x14ac:dyDescent="0.25">
      <c r="A199" s="65">
        <v>467150</v>
      </c>
      <c r="C199" s="45" t="s">
        <v>2</v>
      </c>
      <c r="I199" s="53"/>
      <c r="J199" s="54">
        <v>531938647</v>
      </c>
      <c r="M199" s="56">
        <v>543925621.38</v>
      </c>
      <c r="N199" s="53"/>
      <c r="O199" s="55"/>
      <c r="R199" s="54">
        <v>11986974.379999995</v>
      </c>
    </row>
    <row r="200" spans="1:18" x14ac:dyDescent="0.25">
      <c r="A200" s="65">
        <v>467180</v>
      </c>
      <c r="C200" s="45" t="s">
        <v>8</v>
      </c>
      <c r="I200" s="53"/>
      <c r="J200" s="54">
        <v>608987107.86000001</v>
      </c>
      <c r="M200" s="56">
        <v>631035747.12</v>
      </c>
      <c r="N200" s="53"/>
      <c r="O200" s="55"/>
      <c r="R200" s="54">
        <v>22048639.25999999</v>
      </c>
    </row>
    <row r="201" spans="1:18" x14ac:dyDescent="0.25">
      <c r="A201" s="65">
        <v>467190</v>
      </c>
      <c r="C201" s="45" t="s">
        <v>22</v>
      </c>
      <c r="I201" s="53"/>
      <c r="J201" s="54">
        <v>138486480.74000001</v>
      </c>
      <c r="M201" s="56">
        <v>147679420.74000001</v>
      </c>
      <c r="N201" s="53"/>
      <c r="O201" s="55"/>
      <c r="R201" s="54">
        <v>9192940</v>
      </c>
    </row>
    <row r="202" spans="1:18" x14ac:dyDescent="0.25">
      <c r="A202" s="65">
        <v>467201</v>
      </c>
      <c r="C202" s="45" t="s">
        <v>41</v>
      </c>
      <c r="I202" s="53"/>
      <c r="J202" s="54">
        <v>558820620.27999997</v>
      </c>
      <c r="M202" s="56">
        <v>531594227.16000003</v>
      </c>
      <c r="N202" s="53"/>
      <c r="O202" s="54">
        <v>27226393.119999945</v>
      </c>
      <c r="R202" s="55"/>
    </row>
    <row r="203" spans="1:18" x14ac:dyDescent="0.25">
      <c r="A203" s="65">
        <v>467202</v>
      </c>
      <c r="C203" s="45" t="s">
        <v>42</v>
      </c>
      <c r="I203" s="53"/>
      <c r="J203" s="54">
        <v>71562506.340000004</v>
      </c>
      <c r="M203" s="56">
        <v>110958989.14</v>
      </c>
      <c r="N203" s="53"/>
      <c r="O203" s="55"/>
      <c r="R203" s="54">
        <v>39396482.799999997</v>
      </c>
    </row>
    <row r="204" spans="1:18" x14ac:dyDescent="0.25">
      <c r="A204" s="65">
        <v>467203</v>
      </c>
      <c r="C204" s="45" t="s">
        <v>1804</v>
      </c>
      <c r="I204" s="53"/>
      <c r="J204" s="54">
        <v>16561476.810000001</v>
      </c>
      <c r="M204" s="56">
        <v>19303991.809999999</v>
      </c>
      <c r="N204" s="53"/>
      <c r="O204" s="55"/>
      <c r="R204" s="54">
        <v>2742514.9999999981</v>
      </c>
    </row>
    <row r="205" spans="1:18" x14ac:dyDescent="0.25">
      <c r="A205" s="65">
        <v>467204</v>
      </c>
      <c r="C205" s="45" t="s">
        <v>43</v>
      </c>
      <c r="I205" s="53"/>
      <c r="J205" s="54">
        <v>57311248</v>
      </c>
      <c r="M205" s="56">
        <v>60214114</v>
      </c>
      <c r="N205" s="53"/>
      <c r="O205" s="55"/>
      <c r="R205" s="54">
        <v>2902866</v>
      </c>
    </row>
    <row r="206" spans="1:18" x14ac:dyDescent="0.25">
      <c r="A206" s="65">
        <v>467205</v>
      </c>
      <c r="C206" s="45" t="s">
        <v>44</v>
      </c>
      <c r="I206" s="53"/>
      <c r="J206" s="54">
        <v>9269226.4000000004</v>
      </c>
      <c r="M206" s="56">
        <v>21431199.02</v>
      </c>
      <c r="N206" s="53"/>
      <c r="O206" s="55"/>
      <c r="R206" s="54">
        <v>12161972.619999999</v>
      </c>
    </row>
    <row r="207" spans="1:18" x14ac:dyDescent="0.25">
      <c r="A207" s="65">
        <v>467206</v>
      </c>
      <c r="C207" s="45" t="s">
        <v>45</v>
      </c>
      <c r="I207" s="53"/>
      <c r="J207" s="54">
        <v>112760865.95999999</v>
      </c>
      <c r="M207" s="56">
        <v>123794602.95999999</v>
      </c>
      <c r="N207" s="53"/>
      <c r="O207" s="55"/>
      <c r="R207" s="54">
        <v>11033737</v>
      </c>
    </row>
    <row r="208" spans="1:18" x14ac:dyDescent="0.25">
      <c r="A208" s="65">
        <v>467207</v>
      </c>
      <c r="C208" s="45" t="s">
        <v>46</v>
      </c>
      <c r="I208" s="53"/>
      <c r="J208" s="54">
        <v>20761943</v>
      </c>
      <c r="M208" s="56">
        <v>26899536</v>
      </c>
      <c r="N208" s="53"/>
      <c r="O208" s="55"/>
      <c r="R208" s="54">
        <v>6137593</v>
      </c>
    </row>
    <row r="209" spans="1:18" x14ac:dyDescent="0.25">
      <c r="A209" s="65">
        <v>467210</v>
      </c>
      <c r="C209" s="45" t="s">
        <v>5</v>
      </c>
      <c r="I209" s="53"/>
      <c r="J209" s="54">
        <v>122594133.16</v>
      </c>
      <c r="M209" s="56">
        <v>122743632.16</v>
      </c>
      <c r="N209" s="53"/>
      <c r="O209" s="55"/>
      <c r="R209" s="54">
        <v>149499</v>
      </c>
    </row>
    <row r="210" spans="1:18" x14ac:dyDescent="0.25">
      <c r="A210" s="65">
        <v>467211</v>
      </c>
      <c r="C210" s="45" t="s">
        <v>208</v>
      </c>
      <c r="I210" s="53"/>
      <c r="J210" s="54">
        <v>9390088.5</v>
      </c>
      <c r="M210" s="56">
        <v>22869062.34</v>
      </c>
      <c r="N210" s="53"/>
      <c r="O210" s="55"/>
      <c r="R210" s="54">
        <v>13478973.84</v>
      </c>
    </row>
    <row r="211" spans="1:18" x14ac:dyDescent="0.25">
      <c r="A211" s="65">
        <v>467220</v>
      </c>
      <c r="C211" s="45" t="s">
        <v>35</v>
      </c>
      <c r="I211" s="53"/>
      <c r="J211" s="54">
        <v>363193731.54000002</v>
      </c>
      <c r="M211" s="56">
        <v>372602789.48000002</v>
      </c>
      <c r="N211" s="53"/>
      <c r="O211" s="55"/>
      <c r="R211" s="54">
        <v>9409057.9399999976</v>
      </c>
    </row>
    <row r="212" spans="1:18" x14ac:dyDescent="0.25">
      <c r="A212" s="65">
        <v>467222</v>
      </c>
      <c r="C212" s="45" t="s">
        <v>219</v>
      </c>
      <c r="I212" s="53"/>
      <c r="J212" s="54">
        <v>85554555</v>
      </c>
      <c r="M212" s="56">
        <v>85421355</v>
      </c>
      <c r="N212" s="53"/>
      <c r="O212" s="54">
        <v>133200</v>
      </c>
      <c r="R212" s="55"/>
    </row>
    <row r="213" spans="1:18" x14ac:dyDescent="0.25">
      <c r="A213" s="65">
        <v>467223</v>
      </c>
      <c r="C213" s="45" t="s">
        <v>1742</v>
      </c>
      <c r="I213" s="53"/>
      <c r="J213" s="54">
        <v>1607920</v>
      </c>
      <c r="M213" s="56">
        <v>2780651.9</v>
      </c>
      <c r="N213" s="53"/>
      <c r="O213" s="55"/>
      <c r="R213" s="54">
        <v>1172731.8999999999</v>
      </c>
    </row>
    <row r="214" spans="1:18" x14ac:dyDescent="0.25">
      <c r="A214" s="65">
        <v>467230</v>
      </c>
      <c r="C214" s="45" t="s">
        <v>7</v>
      </c>
      <c r="I214" s="53"/>
      <c r="J214" s="54">
        <v>264512419.36000001</v>
      </c>
      <c r="M214" s="56">
        <v>266695169</v>
      </c>
      <c r="N214" s="53"/>
      <c r="O214" s="55"/>
      <c r="R214" s="54">
        <v>2182749.6399999857</v>
      </c>
    </row>
    <row r="215" spans="1:18" x14ac:dyDescent="0.25">
      <c r="A215" s="65">
        <v>467240</v>
      </c>
      <c r="C215" s="45" t="s">
        <v>6</v>
      </c>
      <c r="I215" s="53"/>
      <c r="J215" s="54">
        <v>103128500.40000001</v>
      </c>
      <c r="M215" s="56">
        <v>103576582.40000001</v>
      </c>
      <c r="N215" s="53"/>
      <c r="O215" s="55"/>
      <c r="R215" s="54">
        <v>448082</v>
      </c>
    </row>
    <row r="216" spans="1:18" x14ac:dyDescent="0.25">
      <c r="A216" s="65">
        <v>467250</v>
      </c>
      <c r="C216" s="45" t="s">
        <v>4</v>
      </c>
      <c r="I216" s="53"/>
      <c r="J216" s="54">
        <v>989668253.57999992</v>
      </c>
      <c r="M216" s="56">
        <v>991070993.58000004</v>
      </c>
      <c r="N216" s="53"/>
      <c r="O216" s="55"/>
      <c r="R216" s="54">
        <v>1402740.0000001192</v>
      </c>
    </row>
    <row r="217" spans="1:18" x14ac:dyDescent="0.25">
      <c r="A217" s="65">
        <v>467260</v>
      </c>
      <c r="C217" s="45" t="s">
        <v>47</v>
      </c>
      <c r="I217" s="53"/>
      <c r="J217" s="54">
        <v>1343838110.1200001</v>
      </c>
      <c r="M217" s="56">
        <v>1345566257.2199998</v>
      </c>
      <c r="N217" s="53"/>
      <c r="O217" s="55"/>
      <c r="R217" s="54">
        <v>1728147.0999996662</v>
      </c>
    </row>
    <row r="218" spans="1:18" x14ac:dyDescent="0.25">
      <c r="A218" s="65">
        <v>467262</v>
      </c>
      <c r="C218" s="45" t="s">
        <v>209</v>
      </c>
      <c r="I218" s="53"/>
      <c r="J218" s="54">
        <v>25869807.369999997</v>
      </c>
      <c r="M218" s="56">
        <v>30460450.43</v>
      </c>
      <c r="N218" s="53"/>
      <c r="O218" s="55"/>
      <c r="R218" s="54">
        <v>4590643.0600000024</v>
      </c>
    </row>
    <row r="219" spans="1:18" x14ac:dyDescent="0.25">
      <c r="A219" s="65">
        <v>467270</v>
      </c>
      <c r="C219" s="45" t="s">
        <v>34</v>
      </c>
      <c r="I219" s="53"/>
      <c r="J219" s="54">
        <v>233244674.25999999</v>
      </c>
      <c r="M219" s="56">
        <v>233244673.88999999</v>
      </c>
      <c r="N219" s="53"/>
      <c r="O219" s="54">
        <v>0.37000000476837158</v>
      </c>
      <c r="R219" s="55"/>
    </row>
    <row r="220" spans="1:18" x14ac:dyDescent="0.25">
      <c r="A220" s="65">
        <v>467271</v>
      </c>
      <c r="C220" s="45" t="s">
        <v>210</v>
      </c>
      <c r="I220" s="53"/>
      <c r="J220" s="54">
        <v>14505478</v>
      </c>
      <c r="M220" s="56">
        <v>14505478</v>
      </c>
      <c r="N220" s="53"/>
      <c r="O220" s="55"/>
      <c r="R220" s="55"/>
    </row>
    <row r="221" spans="1:18" x14ac:dyDescent="0.25">
      <c r="A221" s="65">
        <v>467272</v>
      </c>
      <c r="C221" s="45" t="s">
        <v>220</v>
      </c>
      <c r="I221" s="53"/>
      <c r="J221" s="54">
        <v>3630154.4</v>
      </c>
      <c r="M221" s="56">
        <v>4000000</v>
      </c>
      <c r="N221" s="53"/>
      <c r="O221" s="55"/>
      <c r="R221" s="54">
        <v>369845.60000000009</v>
      </c>
    </row>
    <row r="222" spans="1:18" x14ac:dyDescent="0.25">
      <c r="A222" s="65">
        <v>467280</v>
      </c>
      <c r="C222" s="45" t="s">
        <v>1805</v>
      </c>
      <c r="I222" s="53"/>
      <c r="J222" s="54">
        <v>11047718</v>
      </c>
      <c r="M222" s="56">
        <v>20033676.600000001</v>
      </c>
      <c r="N222" s="53"/>
      <c r="O222" s="55"/>
      <c r="R222" s="54">
        <v>8985958.6000000015</v>
      </c>
    </row>
    <row r="223" spans="1:18" x14ac:dyDescent="0.25">
      <c r="A223" s="65">
        <v>467320</v>
      </c>
      <c r="C223" s="45" t="s">
        <v>139</v>
      </c>
      <c r="I223" s="53"/>
      <c r="J223" s="54">
        <v>303765493.75</v>
      </c>
      <c r="M223" s="56">
        <v>339962200</v>
      </c>
      <c r="N223" s="53"/>
      <c r="O223" s="55"/>
      <c r="R223" s="54">
        <v>36196706.25</v>
      </c>
    </row>
    <row r="224" spans="1:18" x14ac:dyDescent="0.25">
      <c r="A224" s="65">
        <v>467321</v>
      </c>
      <c r="C224" s="45" t="s">
        <v>138</v>
      </c>
      <c r="I224" s="53"/>
      <c r="J224" s="54">
        <v>477460008.78000003</v>
      </c>
      <c r="M224" s="56">
        <v>481305600.56</v>
      </c>
      <c r="N224" s="53"/>
      <c r="O224" s="55"/>
      <c r="R224" s="54">
        <v>3845591.7799999714</v>
      </c>
    </row>
    <row r="225" spans="1:18" x14ac:dyDescent="0.25">
      <c r="A225" s="65">
        <v>467322</v>
      </c>
      <c r="C225" s="45" t="s">
        <v>31</v>
      </c>
      <c r="I225" s="53"/>
      <c r="J225" s="54">
        <v>284924843.09000003</v>
      </c>
      <c r="M225" s="56">
        <v>282815790.80000001</v>
      </c>
      <c r="N225" s="53"/>
      <c r="O225" s="54">
        <v>2109052.2900000215</v>
      </c>
      <c r="R225" s="55"/>
    </row>
    <row r="226" spans="1:18" x14ac:dyDescent="0.25">
      <c r="A226" s="65">
        <v>467330</v>
      </c>
      <c r="C226" s="45" t="s">
        <v>12</v>
      </c>
      <c r="I226" s="53"/>
      <c r="J226" s="54">
        <v>279138122.06999999</v>
      </c>
      <c r="M226" s="56">
        <v>295253277.13999999</v>
      </c>
      <c r="N226" s="53"/>
      <c r="O226" s="55"/>
      <c r="R226" s="54">
        <v>16115155.069999993</v>
      </c>
    </row>
    <row r="227" spans="1:18" x14ac:dyDescent="0.25">
      <c r="A227" s="65">
        <v>467331</v>
      </c>
      <c r="C227" s="45" t="s">
        <v>1806</v>
      </c>
      <c r="I227" s="53"/>
      <c r="J227" s="55"/>
      <c r="M227" s="56">
        <v>29546020</v>
      </c>
      <c r="N227" s="53"/>
      <c r="O227" s="55"/>
      <c r="R227" s="54">
        <v>29546020</v>
      </c>
    </row>
    <row r="228" spans="1:18" x14ac:dyDescent="0.25">
      <c r="A228" s="65">
        <v>467332</v>
      </c>
      <c r="C228" s="45" t="s">
        <v>143</v>
      </c>
      <c r="I228" s="53"/>
      <c r="J228" s="54">
        <v>1874480</v>
      </c>
      <c r="M228" s="56">
        <v>8846880</v>
      </c>
      <c r="N228" s="53"/>
      <c r="O228" s="55"/>
      <c r="R228" s="54">
        <v>6972400</v>
      </c>
    </row>
    <row r="229" spans="1:18" x14ac:dyDescent="0.25">
      <c r="A229" s="65">
        <v>467340</v>
      </c>
      <c r="C229" s="45" t="s">
        <v>13</v>
      </c>
      <c r="I229" s="53"/>
      <c r="J229" s="54">
        <v>158363288.97</v>
      </c>
      <c r="M229" s="56">
        <v>163124198.88999999</v>
      </c>
      <c r="N229" s="53"/>
      <c r="O229" s="55"/>
      <c r="R229" s="54">
        <v>4760909.9199999869</v>
      </c>
    </row>
    <row r="230" spans="1:18" x14ac:dyDescent="0.25">
      <c r="A230" s="65">
        <v>467350</v>
      </c>
      <c r="C230" s="45" t="s">
        <v>14</v>
      </c>
      <c r="I230" s="53"/>
      <c r="J230" s="54">
        <v>50526680.799999997</v>
      </c>
      <c r="M230" s="56">
        <v>51198822.439999998</v>
      </c>
      <c r="N230" s="53"/>
      <c r="O230" s="55"/>
      <c r="R230" s="54">
        <v>672141.6400000006</v>
      </c>
    </row>
    <row r="231" spans="1:18" x14ac:dyDescent="0.25">
      <c r="A231" s="65">
        <v>467360</v>
      </c>
      <c r="C231" s="45" t="s">
        <v>48</v>
      </c>
      <c r="I231" s="53"/>
      <c r="J231" s="54">
        <v>166713059.56</v>
      </c>
      <c r="M231" s="56">
        <v>179947910.19999999</v>
      </c>
      <c r="N231" s="53"/>
      <c r="O231" s="55"/>
      <c r="R231" s="54">
        <v>13234850.639999986</v>
      </c>
    </row>
    <row r="232" spans="1:18" x14ac:dyDescent="0.25">
      <c r="A232" s="65">
        <v>467370</v>
      </c>
      <c r="C232" s="45" t="s">
        <v>49</v>
      </c>
      <c r="I232" s="53"/>
      <c r="J232" s="54">
        <v>260442498.50999999</v>
      </c>
      <c r="M232" s="56">
        <v>274232962.60000002</v>
      </c>
      <c r="N232" s="53"/>
      <c r="O232" s="55"/>
      <c r="R232" s="54">
        <v>13790464.090000033</v>
      </c>
    </row>
    <row r="233" spans="1:18" x14ac:dyDescent="0.25">
      <c r="A233" s="65">
        <v>467400</v>
      </c>
      <c r="C233" s="45" t="s">
        <v>78</v>
      </c>
      <c r="I233" s="53"/>
      <c r="J233" s="54">
        <v>361815662.69</v>
      </c>
      <c r="M233" s="56">
        <v>403936646.30000001</v>
      </c>
      <c r="N233" s="53"/>
      <c r="O233" s="55"/>
      <c r="R233" s="54">
        <v>42120983.610000014</v>
      </c>
    </row>
    <row r="234" spans="1:18" x14ac:dyDescent="0.25">
      <c r="A234" s="65">
        <v>467500</v>
      </c>
      <c r="C234" s="45" t="s">
        <v>25</v>
      </c>
      <c r="I234" s="53"/>
      <c r="J234" s="54">
        <v>172800</v>
      </c>
      <c r="M234" s="57"/>
      <c r="N234" s="53"/>
      <c r="O234" s="54">
        <v>172800</v>
      </c>
      <c r="R234" s="55"/>
    </row>
    <row r="235" spans="1:18" x14ac:dyDescent="0.25">
      <c r="A235" s="65">
        <v>467501</v>
      </c>
      <c r="C235" s="45" t="s">
        <v>144</v>
      </c>
      <c r="I235" s="53"/>
      <c r="J235" s="54">
        <v>476928676.31</v>
      </c>
      <c r="M235" s="56">
        <v>623309306.95000005</v>
      </c>
      <c r="N235" s="53"/>
      <c r="O235" s="55"/>
      <c r="R235" s="54">
        <v>146380630.64000005</v>
      </c>
    </row>
    <row r="236" spans="1:18" x14ac:dyDescent="0.25">
      <c r="A236" s="65">
        <v>467601</v>
      </c>
      <c r="C236" s="45" t="s">
        <v>194</v>
      </c>
      <c r="I236" s="53"/>
      <c r="J236" s="54">
        <v>150800038.24000001</v>
      </c>
      <c r="M236" s="56">
        <v>164412629.82999998</v>
      </c>
      <c r="N236" s="53"/>
      <c r="O236" s="55"/>
      <c r="R236" s="54">
        <v>13612591.589999974</v>
      </c>
    </row>
    <row r="237" spans="1:18" x14ac:dyDescent="0.25">
      <c r="A237" s="65">
        <v>467602</v>
      </c>
      <c r="C237" s="45" t="s">
        <v>206</v>
      </c>
      <c r="I237" s="53"/>
      <c r="J237" s="54">
        <v>60666567</v>
      </c>
      <c r="M237" s="56">
        <v>73861432</v>
      </c>
      <c r="N237" s="53"/>
      <c r="O237" s="55"/>
      <c r="R237" s="54">
        <v>13194865</v>
      </c>
    </row>
    <row r="238" spans="1:18" x14ac:dyDescent="0.25">
      <c r="A238" s="65">
        <v>467603</v>
      </c>
      <c r="C238" s="45" t="s">
        <v>211</v>
      </c>
      <c r="I238" s="53"/>
      <c r="J238" s="54">
        <v>75542321</v>
      </c>
      <c r="M238" s="56">
        <v>140000000</v>
      </c>
      <c r="N238" s="53"/>
      <c r="O238" s="55"/>
      <c r="R238" s="54">
        <v>64457679</v>
      </c>
    </row>
    <row r="239" spans="1:18" x14ac:dyDescent="0.25">
      <c r="A239" s="65">
        <v>467700</v>
      </c>
      <c r="C239" s="45" t="s">
        <v>38</v>
      </c>
      <c r="I239" s="53"/>
      <c r="J239" s="54">
        <v>333215714.80000001</v>
      </c>
      <c r="M239" s="56">
        <v>370500000</v>
      </c>
      <c r="N239" s="53"/>
      <c r="O239" s="55"/>
      <c r="R239" s="54">
        <v>37284285.199999988</v>
      </c>
    </row>
    <row r="240" spans="1:18" x14ac:dyDescent="0.25">
      <c r="A240" s="65">
        <v>467710</v>
      </c>
      <c r="C240" s="45" t="s">
        <v>189</v>
      </c>
      <c r="I240" s="53"/>
      <c r="J240" s="54">
        <v>13299677</v>
      </c>
      <c r="M240" s="56">
        <v>23942874</v>
      </c>
      <c r="N240" s="53"/>
      <c r="O240" s="55"/>
      <c r="R240" s="54">
        <v>10643197</v>
      </c>
    </row>
    <row r="241" spans="1:18" x14ac:dyDescent="0.25">
      <c r="A241" s="65">
        <v>467800</v>
      </c>
      <c r="C241" s="45" t="s">
        <v>50</v>
      </c>
      <c r="I241" s="53"/>
      <c r="J241" s="54">
        <v>343688628.20000005</v>
      </c>
      <c r="M241" s="56">
        <v>334878417.19999999</v>
      </c>
      <c r="N241" s="53"/>
      <c r="O241" s="54">
        <v>8810211.0000000596</v>
      </c>
      <c r="R241" s="55"/>
    </row>
    <row r="242" spans="1:18" x14ac:dyDescent="0.25">
      <c r="A242" s="65">
        <v>467801</v>
      </c>
      <c r="C242" s="45" t="s">
        <v>79</v>
      </c>
      <c r="I242" s="53"/>
      <c r="J242" s="54">
        <v>31010298</v>
      </c>
      <c r="M242" s="56">
        <v>22158000</v>
      </c>
      <c r="N242" s="53"/>
      <c r="O242" s="54">
        <v>8852298</v>
      </c>
      <c r="R242" s="55"/>
    </row>
    <row r="243" spans="1:18" x14ac:dyDescent="0.25">
      <c r="A243" s="65">
        <v>467802</v>
      </c>
      <c r="C243" s="45" t="s">
        <v>1744</v>
      </c>
      <c r="I243" s="53"/>
      <c r="J243" s="54">
        <v>1133500</v>
      </c>
      <c r="M243" s="56">
        <v>14790980.67</v>
      </c>
      <c r="N243" s="53"/>
      <c r="O243" s="55"/>
      <c r="R243" s="54">
        <v>13657480.67</v>
      </c>
    </row>
    <row r="244" spans="1:18" x14ac:dyDescent="0.25">
      <c r="A244" s="65">
        <v>467810</v>
      </c>
      <c r="C244" s="45" t="s">
        <v>121</v>
      </c>
      <c r="I244" s="53"/>
      <c r="J244" s="54">
        <v>5819071</v>
      </c>
      <c r="M244" s="56">
        <v>11250000</v>
      </c>
      <c r="N244" s="53"/>
      <c r="O244" s="55"/>
      <c r="R244" s="54">
        <v>5430929</v>
      </c>
    </row>
    <row r="245" spans="1:18" x14ac:dyDescent="0.25">
      <c r="A245" s="65">
        <v>467900</v>
      </c>
      <c r="C245" s="45" t="s">
        <v>51</v>
      </c>
      <c r="I245" s="53"/>
      <c r="J245" s="54">
        <v>9684820362.3500004</v>
      </c>
      <c r="M245" s="56">
        <v>9683939185.4100018</v>
      </c>
      <c r="N245" s="53"/>
      <c r="O245" s="54">
        <v>881176.93999862671</v>
      </c>
      <c r="R245" s="55"/>
    </row>
    <row r="246" spans="1:18" x14ac:dyDescent="0.25">
      <c r="A246" s="65">
        <v>467910</v>
      </c>
      <c r="C246" s="45" t="s">
        <v>52</v>
      </c>
      <c r="I246" s="53"/>
      <c r="J246" s="54">
        <v>1465108472.0999999</v>
      </c>
      <c r="M246" s="56">
        <v>1526259863.55</v>
      </c>
      <c r="N246" s="53"/>
      <c r="O246" s="55"/>
      <c r="R246" s="54">
        <v>61151391.450000048</v>
      </c>
    </row>
    <row r="247" spans="1:18" x14ac:dyDescent="0.25">
      <c r="A247" s="65">
        <v>467921</v>
      </c>
      <c r="C247" s="45" t="s">
        <v>145</v>
      </c>
      <c r="I247" s="53"/>
      <c r="J247" s="54">
        <v>36977037</v>
      </c>
      <c r="M247" s="56">
        <v>36976837</v>
      </c>
      <c r="N247" s="53"/>
      <c r="O247" s="54">
        <v>200</v>
      </c>
      <c r="R247" s="55"/>
    </row>
    <row r="248" spans="1:18" x14ac:dyDescent="0.25">
      <c r="A248" s="65">
        <v>467999</v>
      </c>
      <c r="C248" s="45" t="s">
        <v>80</v>
      </c>
      <c r="I248" s="53"/>
      <c r="J248" s="54">
        <v>3073651.65</v>
      </c>
      <c r="M248" s="56">
        <v>772201.02</v>
      </c>
      <c r="N248" s="53"/>
      <c r="O248" s="54">
        <v>2301450.63</v>
      </c>
      <c r="R248" s="55"/>
    </row>
    <row r="249" spans="1:18" x14ac:dyDescent="0.25">
      <c r="A249" s="65">
        <v>470000</v>
      </c>
      <c r="C249" s="45" t="s">
        <v>148</v>
      </c>
      <c r="I249" s="53"/>
      <c r="J249" s="54">
        <v>18727070.359999999</v>
      </c>
      <c r="M249" s="56">
        <v>18727070.359999999</v>
      </c>
      <c r="N249" s="53"/>
      <c r="O249" s="55"/>
      <c r="R249" s="55"/>
    </row>
    <row r="250" spans="1:18" x14ac:dyDescent="0.25">
      <c r="A250" s="65">
        <v>486000</v>
      </c>
      <c r="C250" s="45" t="s">
        <v>136</v>
      </c>
      <c r="I250" s="53"/>
      <c r="J250" s="54">
        <v>13527586.449999999</v>
      </c>
      <c r="M250" s="56">
        <v>24097350.449999999</v>
      </c>
      <c r="N250" s="53"/>
      <c r="O250" s="55"/>
      <c r="R250" s="54">
        <v>10569764</v>
      </c>
    </row>
    <row r="251" spans="1:18" x14ac:dyDescent="0.25">
      <c r="A251" s="65">
        <v>512000</v>
      </c>
      <c r="C251" s="45" t="s">
        <v>81</v>
      </c>
      <c r="I251" s="53"/>
      <c r="J251" s="54">
        <v>1476389905.8699999</v>
      </c>
      <c r="M251" s="56">
        <v>1232210153.28</v>
      </c>
      <c r="N251" s="53"/>
      <c r="O251" s="54">
        <v>244179752.58999991</v>
      </c>
      <c r="R251" s="55"/>
    </row>
    <row r="252" spans="1:18" x14ac:dyDescent="0.25">
      <c r="A252" s="65">
        <v>512004</v>
      </c>
      <c r="C252" s="45" t="s">
        <v>82</v>
      </c>
      <c r="I252" s="53"/>
      <c r="J252" s="54">
        <v>4244322</v>
      </c>
      <c r="M252" s="56">
        <v>86400</v>
      </c>
      <c r="N252" s="53"/>
      <c r="O252" s="54">
        <v>4157922</v>
      </c>
      <c r="R252" s="55"/>
    </row>
    <row r="253" spans="1:18" x14ac:dyDescent="0.25">
      <c r="A253" s="65">
        <v>512005</v>
      </c>
      <c r="C253" s="45" t="s">
        <v>83</v>
      </c>
      <c r="I253" s="53"/>
      <c r="J253" s="54">
        <v>1358832139.5899999</v>
      </c>
      <c r="M253" s="56">
        <v>290389920.11000001</v>
      </c>
      <c r="N253" s="53"/>
      <c r="O253" s="54">
        <v>1068442219.4799999</v>
      </c>
      <c r="R253" s="55"/>
    </row>
    <row r="254" spans="1:18" x14ac:dyDescent="0.25">
      <c r="A254" s="65">
        <v>512100</v>
      </c>
      <c r="C254" s="45" t="s">
        <v>146</v>
      </c>
      <c r="I254" s="53"/>
      <c r="J254" s="54">
        <v>3650057229.4500003</v>
      </c>
      <c r="M254" s="56">
        <v>3396194219.3499999</v>
      </c>
      <c r="N254" s="53"/>
      <c r="O254" s="54">
        <v>253863010.10000038</v>
      </c>
      <c r="R254" s="55"/>
    </row>
    <row r="255" spans="1:18" x14ac:dyDescent="0.25">
      <c r="A255" s="65">
        <v>512110</v>
      </c>
      <c r="C255" s="45" t="s">
        <v>131</v>
      </c>
      <c r="I255" s="53"/>
      <c r="J255" s="54">
        <v>636730849.13999999</v>
      </c>
      <c r="M255" s="56">
        <v>635241120.48000002</v>
      </c>
      <c r="N255" s="53"/>
      <c r="O255" s="54">
        <v>1489728.6599999666</v>
      </c>
      <c r="R255" s="55"/>
    </row>
    <row r="256" spans="1:18" x14ac:dyDescent="0.25">
      <c r="A256" s="65">
        <v>512120</v>
      </c>
      <c r="C256" s="45" t="s">
        <v>84</v>
      </c>
      <c r="I256" s="53"/>
      <c r="J256" s="54">
        <v>25193431.82</v>
      </c>
      <c r="M256" s="56">
        <v>25263401.039999999</v>
      </c>
      <c r="N256" s="53"/>
      <c r="O256" s="55"/>
      <c r="R256" s="54">
        <v>69969.219999998808</v>
      </c>
    </row>
    <row r="257" spans="1:18" x14ac:dyDescent="0.25">
      <c r="A257" s="65">
        <v>512122</v>
      </c>
      <c r="C257" s="45" t="s">
        <v>85</v>
      </c>
      <c r="I257" s="53"/>
      <c r="J257" s="54">
        <v>82556784.890000001</v>
      </c>
      <c r="M257" s="56">
        <v>63265449.75</v>
      </c>
      <c r="N257" s="53"/>
      <c r="O257" s="54">
        <v>19291335.140000001</v>
      </c>
      <c r="R257" s="55"/>
    </row>
    <row r="258" spans="1:18" x14ac:dyDescent="0.25">
      <c r="A258" s="65">
        <v>512124</v>
      </c>
      <c r="C258" s="45" t="s">
        <v>132</v>
      </c>
      <c r="I258" s="53"/>
      <c r="J258" s="54">
        <v>44289310.780000001</v>
      </c>
      <c r="M258" s="56">
        <v>35494271.009999998</v>
      </c>
      <c r="N258" s="53"/>
      <c r="O258" s="54">
        <v>8795039.7700000033</v>
      </c>
      <c r="R258" s="55"/>
    </row>
    <row r="259" spans="1:18" x14ac:dyDescent="0.25">
      <c r="A259" s="65">
        <v>512140</v>
      </c>
      <c r="C259" s="45" t="s">
        <v>86</v>
      </c>
      <c r="I259" s="53"/>
      <c r="J259" s="54">
        <v>875199855.26999998</v>
      </c>
      <c r="M259" s="56">
        <v>870915887.97000003</v>
      </c>
      <c r="N259" s="53"/>
      <c r="O259" s="54">
        <v>4283967.2999999523</v>
      </c>
      <c r="R259" s="55"/>
    </row>
    <row r="260" spans="1:18" x14ac:dyDescent="0.25">
      <c r="A260" s="65">
        <v>512145</v>
      </c>
      <c r="C260" s="45" t="s">
        <v>87</v>
      </c>
      <c r="I260" s="53"/>
      <c r="J260" s="54">
        <v>168195264.61000001</v>
      </c>
      <c r="M260" s="56">
        <v>148177642.88999999</v>
      </c>
      <c r="N260" s="53"/>
      <c r="O260" s="54">
        <v>20017621.720000029</v>
      </c>
      <c r="R260" s="55"/>
    </row>
    <row r="261" spans="1:18" x14ac:dyDescent="0.25">
      <c r="A261" s="65">
        <v>512150</v>
      </c>
      <c r="C261" s="45" t="s">
        <v>88</v>
      </c>
      <c r="I261" s="53"/>
      <c r="J261" s="54">
        <v>116575735.92</v>
      </c>
      <c r="M261" s="56">
        <v>116356519.43000001</v>
      </c>
      <c r="N261" s="53"/>
      <c r="O261" s="54">
        <v>219216.48999999464</v>
      </c>
      <c r="R261" s="55"/>
    </row>
    <row r="262" spans="1:18" x14ac:dyDescent="0.25">
      <c r="A262" s="65">
        <v>512180</v>
      </c>
      <c r="C262" s="45" t="s">
        <v>89</v>
      </c>
      <c r="I262" s="53"/>
      <c r="J262" s="54">
        <v>224402528.30000001</v>
      </c>
      <c r="M262" s="56">
        <v>200314849.03999999</v>
      </c>
      <c r="N262" s="53"/>
      <c r="O262" s="54">
        <v>24087679.26000002</v>
      </c>
      <c r="R262" s="55"/>
    </row>
    <row r="263" spans="1:18" x14ac:dyDescent="0.25">
      <c r="A263" s="65">
        <v>512190</v>
      </c>
      <c r="C263" s="45" t="s">
        <v>90</v>
      </c>
      <c r="I263" s="53"/>
      <c r="J263" s="54">
        <v>507869264.73999995</v>
      </c>
      <c r="M263" s="56">
        <v>457285334.69999999</v>
      </c>
      <c r="N263" s="53"/>
      <c r="O263" s="54">
        <v>50583930.039999962</v>
      </c>
      <c r="R263" s="55"/>
    </row>
    <row r="264" spans="1:18" x14ac:dyDescent="0.25">
      <c r="A264" s="65">
        <v>512201</v>
      </c>
      <c r="C264" s="45" t="s">
        <v>91</v>
      </c>
      <c r="I264" s="53"/>
      <c r="J264" s="54">
        <v>195054232.31999999</v>
      </c>
      <c r="M264" s="56">
        <v>185802300.56999999</v>
      </c>
      <c r="N264" s="53"/>
      <c r="O264" s="54">
        <v>9251931.75</v>
      </c>
      <c r="R264" s="55"/>
    </row>
    <row r="265" spans="1:18" x14ac:dyDescent="0.25">
      <c r="A265" s="65">
        <v>512210</v>
      </c>
      <c r="C265" s="45" t="s">
        <v>92</v>
      </c>
      <c r="I265" s="53"/>
      <c r="J265" s="54">
        <v>47011398.239999995</v>
      </c>
      <c r="M265" s="56">
        <v>46862078.840000004</v>
      </c>
      <c r="N265" s="53"/>
      <c r="O265" s="54">
        <v>149319.39999999106</v>
      </c>
      <c r="R265" s="55"/>
    </row>
    <row r="266" spans="1:18" x14ac:dyDescent="0.25">
      <c r="A266" s="65">
        <v>512220</v>
      </c>
      <c r="C266" s="45" t="s">
        <v>93</v>
      </c>
      <c r="I266" s="53"/>
      <c r="J266" s="54">
        <v>171168227.19999999</v>
      </c>
      <c r="M266" s="56">
        <v>152983783.09</v>
      </c>
      <c r="N266" s="53"/>
      <c r="O266" s="54">
        <v>18184444.109999985</v>
      </c>
      <c r="R266" s="55"/>
    </row>
    <row r="267" spans="1:18" x14ac:dyDescent="0.25">
      <c r="A267" s="65">
        <v>512230</v>
      </c>
      <c r="C267" s="45" t="s">
        <v>94</v>
      </c>
      <c r="I267" s="53"/>
      <c r="J267" s="54">
        <v>68608308.700000003</v>
      </c>
      <c r="M267" s="56">
        <v>68635558.700000003</v>
      </c>
      <c r="N267" s="53"/>
      <c r="O267" s="55"/>
      <c r="R267" s="54">
        <v>27250</v>
      </c>
    </row>
    <row r="268" spans="1:18" x14ac:dyDescent="0.25">
      <c r="A268" s="65">
        <v>512240</v>
      </c>
      <c r="C268" s="45" t="s">
        <v>95</v>
      </c>
      <c r="I268" s="53"/>
      <c r="J268" s="54">
        <v>68211736.539999992</v>
      </c>
      <c r="M268" s="56">
        <v>68122737.040000007</v>
      </c>
      <c r="N268" s="53"/>
      <c r="O268" s="54">
        <v>88999.499999985099</v>
      </c>
      <c r="R268" s="55"/>
    </row>
    <row r="269" spans="1:18" x14ac:dyDescent="0.25">
      <c r="A269" s="65">
        <v>512250</v>
      </c>
      <c r="C269" s="45" t="s">
        <v>133</v>
      </c>
      <c r="I269" s="53"/>
      <c r="J269" s="54">
        <v>148299957.47</v>
      </c>
      <c r="M269" s="56">
        <v>148297357.47</v>
      </c>
      <c r="N269" s="53"/>
      <c r="O269" s="54">
        <v>2600</v>
      </c>
      <c r="R269" s="55"/>
    </row>
    <row r="270" spans="1:18" x14ac:dyDescent="0.25">
      <c r="A270" s="65">
        <v>512260</v>
      </c>
      <c r="C270" s="45" t="s">
        <v>96</v>
      </c>
      <c r="I270" s="53"/>
      <c r="J270" s="54">
        <v>223007105.19999999</v>
      </c>
      <c r="M270" s="56">
        <v>223039222.09999999</v>
      </c>
      <c r="N270" s="53"/>
      <c r="O270" s="55"/>
      <c r="R270" s="54">
        <v>32116.90000000596</v>
      </c>
    </row>
    <row r="271" spans="1:18" x14ac:dyDescent="0.25">
      <c r="A271" s="65">
        <v>512320</v>
      </c>
      <c r="C271" s="45" t="s">
        <v>97</v>
      </c>
      <c r="I271" s="53"/>
      <c r="J271" s="54">
        <v>456626840.69999999</v>
      </c>
      <c r="M271" s="56">
        <v>417251141.75999999</v>
      </c>
      <c r="N271" s="53"/>
      <c r="O271" s="54">
        <v>39375698.939999998</v>
      </c>
      <c r="R271" s="55"/>
    </row>
    <row r="272" spans="1:18" x14ac:dyDescent="0.25">
      <c r="A272" s="65">
        <v>512330</v>
      </c>
      <c r="C272" s="45" t="s">
        <v>98</v>
      </c>
      <c r="I272" s="53"/>
      <c r="J272" s="54">
        <v>121511736.77</v>
      </c>
      <c r="M272" s="56">
        <v>75585211.700000003</v>
      </c>
      <c r="N272" s="53"/>
      <c r="O272" s="54">
        <v>45926525.069999993</v>
      </c>
      <c r="R272" s="55"/>
    </row>
    <row r="273" spans="1:18" x14ac:dyDescent="0.25">
      <c r="A273" s="65">
        <v>512340</v>
      </c>
      <c r="C273" s="45" t="s">
        <v>99</v>
      </c>
      <c r="I273" s="53"/>
      <c r="J273" s="54">
        <v>6781727.2400000002</v>
      </c>
      <c r="M273" s="56">
        <v>2964773.48</v>
      </c>
      <c r="N273" s="53"/>
      <c r="O273" s="54">
        <v>3816953.7600000002</v>
      </c>
      <c r="R273" s="55"/>
    </row>
    <row r="274" spans="1:18" x14ac:dyDescent="0.25">
      <c r="A274" s="65">
        <v>512350</v>
      </c>
      <c r="C274" s="45" t="s">
        <v>100</v>
      </c>
      <c r="I274" s="53"/>
      <c r="J274" s="54">
        <v>18535269.140000001</v>
      </c>
      <c r="M274" s="56">
        <v>15762472.300000001</v>
      </c>
      <c r="N274" s="53"/>
      <c r="O274" s="54">
        <v>2772796.84</v>
      </c>
      <c r="R274" s="55"/>
    </row>
    <row r="275" spans="1:18" x14ac:dyDescent="0.25">
      <c r="A275" s="65">
        <v>512360</v>
      </c>
      <c r="C275" s="45" t="s">
        <v>101</v>
      </c>
      <c r="I275" s="53"/>
      <c r="J275" s="54">
        <v>91557665.109999999</v>
      </c>
      <c r="M275" s="56">
        <v>78322814.469999999</v>
      </c>
      <c r="N275" s="53"/>
      <c r="O275" s="54">
        <v>13234850.640000001</v>
      </c>
      <c r="R275" s="55"/>
    </row>
    <row r="276" spans="1:18" x14ac:dyDescent="0.25">
      <c r="A276" s="65">
        <v>512370</v>
      </c>
      <c r="C276" s="45" t="s">
        <v>102</v>
      </c>
      <c r="I276" s="53"/>
      <c r="J276" s="54">
        <v>89114629.520000011</v>
      </c>
      <c r="M276" s="56">
        <v>75324165.430000007</v>
      </c>
      <c r="N276" s="53"/>
      <c r="O276" s="54">
        <v>13790464.090000004</v>
      </c>
      <c r="R276" s="55"/>
    </row>
    <row r="277" spans="1:18" x14ac:dyDescent="0.25">
      <c r="A277" s="65">
        <v>512400</v>
      </c>
      <c r="C277" s="45" t="s">
        <v>103</v>
      </c>
      <c r="I277" s="53"/>
      <c r="J277" s="54">
        <v>161659654.52999997</v>
      </c>
      <c r="M277" s="56">
        <v>120970291.19</v>
      </c>
      <c r="N277" s="53"/>
      <c r="O277" s="54">
        <v>40689363.339999974</v>
      </c>
      <c r="R277" s="55"/>
    </row>
    <row r="278" spans="1:18" x14ac:dyDescent="0.25">
      <c r="A278" s="65">
        <v>512500</v>
      </c>
      <c r="C278" s="45" t="s">
        <v>104</v>
      </c>
      <c r="I278" s="53"/>
      <c r="J278" s="54">
        <v>3590387.02</v>
      </c>
      <c r="M278" s="56">
        <v>500285</v>
      </c>
      <c r="N278" s="53"/>
      <c r="O278" s="54">
        <v>3090102.02</v>
      </c>
      <c r="R278" s="55"/>
    </row>
    <row r="279" spans="1:18" x14ac:dyDescent="0.25">
      <c r="A279" s="65">
        <v>512501</v>
      </c>
      <c r="C279" s="45" t="s">
        <v>147</v>
      </c>
      <c r="I279" s="53"/>
      <c r="J279" s="54">
        <v>416269848.67000002</v>
      </c>
      <c r="M279" s="56">
        <v>374439247.19</v>
      </c>
      <c r="N279" s="53"/>
      <c r="O279" s="54">
        <v>41830601.480000019</v>
      </c>
      <c r="R279" s="55"/>
    </row>
    <row r="280" spans="1:18" x14ac:dyDescent="0.25">
      <c r="A280" s="65">
        <v>512600</v>
      </c>
      <c r="C280" s="45" t="s">
        <v>196</v>
      </c>
      <c r="I280" s="53"/>
      <c r="J280" s="54">
        <v>256586442.89999998</v>
      </c>
      <c r="M280" s="56">
        <v>187693307.31</v>
      </c>
      <c r="N280" s="53"/>
      <c r="O280" s="54">
        <v>68893135.589999974</v>
      </c>
      <c r="R280" s="55"/>
    </row>
    <row r="281" spans="1:18" x14ac:dyDescent="0.25">
      <c r="A281" s="65">
        <v>512700</v>
      </c>
      <c r="C281" s="45" t="s">
        <v>191</v>
      </c>
      <c r="I281" s="53"/>
      <c r="J281" s="54">
        <v>91152866.689999998</v>
      </c>
      <c r="M281" s="56">
        <v>71634636.969999999</v>
      </c>
      <c r="N281" s="53"/>
      <c r="O281" s="54">
        <v>19518229.719999999</v>
      </c>
      <c r="R281" s="55"/>
    </row>
    <row r="282" spans="1:18" x14ac:dyDescent="0.25">
      <c r="A282" s="65">
        <v>512800</v>
      </c>
      <c r="C282" s="45" t="s">
        <v>134</v>
      </c>
      <c r="I282" s="53"/>
      <c r="J282" s="54">
        <v>94870361.769999996</v>
      </c>
      <c r="M282" s="56">
        <v>74161361.099999994</v>
      </c>
      <c r="N282" s="53"/>
      <c r="O282" s="54">
        <v>20709000.670000002</v>
      </c>
      <c r="R282" s="55"/>
    </row>
    <row r="283" spans="1:18" x14ac:dyDescent="0.25">
      <c r="A283" s="65">
        <v>512900</v>
      </c>
      <c r="C283" s="45" t="s">
        <v>105</v>
      </c>
      <c r="I283" s="53"/>
      <c r="J283" s="54">
        <v>962772899.87</v>
      </c>
      <c r="M283" s="56">
        <v>962173936.90999997</v>
      </c>
      <c r="N283" s="53"/>
      <c r="O283" s="54">
        <v>598962.96000003815</v>
      </c>
      <c r="R283" s="55"/>
    </row>
    <row r="284" spans="1:18" x14ac:dyDescent="0.25">
      <c r="A284" s="65">
        <v>512910</v>
      </c>
      <c r="C284" s="45" t="s">
        <v>106</v>
      </c>
      <c r="I284" s="53"/>
      <c r="J284" s="54">
        <v>393396587.17000002</v>
      </c>
      <c r="M284" s="56">
        <v>317920114.25</v>
      </c>
      <c r="N284" s="53"/>
      <c r="O284" s="54">
        <v>75476472.920000017</v>
      </c>
      <c r="R284" s="55"/>
    </row>
    <row r="285" spans="1:18" x14ac:dyDescent="0.25">
      <c r="A285" s="65">
        <v>513000</v>
      </c>
      <c r="C285" s="45" t="s">
        <v>107</v>
      </c>
      <c r="I285" s="53"/>
      <c r="J285" s="54">
        <v>94538236</v>
      </c>
      <c r="M285" s="56">
        <v>89256985</v>
      </c>
      <c r="N285" s="53"/>
      <c r="O285" s="54">
        <v>5281251</v>
      </c>
      <c r="R285" s="55"/>
    </row>
    <row r="286" spans="1:18" x14ac:dyDescent="0.25">
      <c r="A286" s="65">
        <v>513110</v>
      </c>
      <c r="C286" s="45" t="s">
        <v>135</v>
      </c>
      <c r="I286" s="53"/>
      <c r="J286" s="54">
        <v>133038179</v>
      </c>
      <c r="M286" s="56">
        <v>121248440</v>
      </c>
      <c r="N286" s="53"/>
      <c r="O286" s="54">
        <v>11789739</v>
      </c>
      <c r="R286" s="55"/>
    </row>
    <row r="287" spans="1:18" x14ac:dyDescent="0.25">
      <c r="A287" s="65">
        <v>513140</v>
      </c>
      <c r="C287" s="45" t="s">
        <v>108</v>
      </c>
      <c r="I287" s="53"/>
      <c r="J287" s="54">
        <v>16077345</v>
      </c>
      <c r="M287" s="56">
        <v>12877436</v>
      </c>
      <c r="N287" s="53"/>
      <c r="O287" s="54">
        <v>3199909</v>
      </c>
      <c r="R287" s="55"/>
    </row>
    <row r="288" spans="1:18" x14ac:dyDescent="0.25">
      <c r="A288" s="65">
        <v>513500</v>
      </c>
      <c r="C288" s="45" t="s">
        <v>109</v>
      </c>
      <c r="I288" s="53"/>
      <c r="J288" s="54">
        <v>445479</v>
      </c>
      <c r="M288" s="57"/>
      <c r="N288" s="53"/>
      <c r="O288" s="54">
        <v>445479</v>
      </c>
      <c r="R288" s="55"/>
    </row>
    <row r="289" spans="1:18" x14ac:dyDescent="0.25">
      <c r="A289" s="65">
        <v>530000</v>
      </c>
      <c r="C289" s="45" t="s">
        <v>171</v>
      </c>
      <c r="I289" s="53"/>
      <c r="J289" s="54">
        <v>23189500</v>
      </c>
      <c r="M289" s="56">
        <v>21656180</v>
      </c>
      <c r="N289" s="53"/>
      <c r="O289" s="54">
        <v>1533320</v>
      </c>
      <c r="R289" s="55"/>
    </row>
    <row r="290" spans="1:18" x14ac:dyDescent="0.25">
      <c r="A290" s="65">
        <v>580001</v>
      </c>
      <c r="C290" s="45" t="s">
        <v>172</v>
      </c>
      <c r="I290" s="53"/>
      <c r="J290" s="54">
        <v>1607452814.9100001</v>
      </c>
      <c r="M290" s="56">
        <v>1607452814.9100001</v>
      </c>
      <c r="N290" s="53"/>
      <c r="O290" s="55"/>
      <c r="R290" s="55"/>
    </row>
    <row r="291" spans="1:18" x14ac:dyDescent="0.25">
      <c r="A291" s="65">
        <v>580002</v>
      </c>
      <c r="C291" s="45" t="s">
        <v>173</v>
      </c>
      <c r="I291" s="53"/>
      <c r="J291" s="54">
        <v>18000000</v>
      </c>
      <c r="M291" s="56">
        <v>18000000</v>
      </c>
      <c r="N291" s="53"/>
      <c r="O291" s="55"/>
      <c r="R291" s="55"/>
    </row>
    <row r="292" spans="1:18" x14ac:dyDescent="0.25">
      <c r="A292" s="65">
        <v>606100</v>
      </c>
      <c r="C292" s="45" t="s">
        <v>174</v>
      </c>
      <c r="I292" s="53"/>
      <c r="J292" s="54">
        <v>3696083.37</v>
      </c>
      <c r="M292" s="57"/>
      <c r="N292" s="53"/>
      <c r="O292" s="54">
        <v>3696083.37</v>
      </c>
      <c r="R292" s="55"/>
    </row>
    <row r="293" spans="1:18" x14ac:dyDescent="0.25">
      <c r="A293" s="65">
        <v>606200</v>
      </c>
      <c r="C293" s="45" t="s">
        <v>175</v>
      </c>
      <c r="I293" s="53"/>
      <c r="J293" s="54">
        <v>20569958.07</v>
      </c>
      <c r="M293" s="56">
        <v>2132045</v>
      </c>
      <c r="N293" s="53"/>
      <c r="O293" s="54">
        <v>18437913.07</v>
      </c>
      <c r="R293" s="55"/>
    </row>
    <row r="294" spans="1:18" x14ac:dyDescent="0.25">
      <c r="A294" s="65">
        <v>606300</v>
      </c>
      <c r="C294" s="45" t="s">
        <v>176</v>
      </c>
      <c r="I294" s="53"/>
      <c r="J294" s="54">
        <v>8589015.4299999997</v>
      </c>
      <c r="M294" s="56">
        <v>600000</v>
      </c>
      <c r="N294" s="53"/>
      <c r="O294" s="54">
        <v>7989015.4299999997</v>
      </c>
      <c r="R294" s="55"/>
    </row>
    <row r="295" spans="1:18" x14ac:dyDescent="0.25">
      <c r="A295" s="65">
        <v>606400</v>
      </c>
      <c r="C295" s="45" t="s">
        <v>1746</v>
      </c>
      <c r="I295" s="53"/>
      <c r="J295" s="54">
        <v>3884000</v>
      </c>
      <c r="M295" s="57"/>
      <c r="N295" s="53"/>
      <c r="O295" s="54">
        <v>3884000</v>
      </c>
      <c r="R295" s="55"/>
    </row>
    <row r="296" spans="1:18" x14ac:dyDescent="0.25">
      <c r="A296" s="65">
        <v>613100</v>
      </c>
      <c r="C296" s="45" t="s">
        <v>177</v>
      </c>
      <c r="I296" s="53"/>
      <c r="J296" s="54">
        <v>26854682</v>
      </c>
      <c r="M296" s="56">
        <v>1445200</v>
      </c>
      <c r="N296" s="53"/>
      <c r="O296" s="54">
        <v>25409482</v>
      </c>
      <c r="R296" s="55"/>
    </row>
    <row r="297" spans="1:18" x14ac:dyDescent="0.25">
      <c r="A297" s="65">
        <v>614000</v>
      </c>
      <c r="C297" s="45" t="s">
        <v>1745</v>
      </c>
      <c r="I297" s="53"/>
      <c r="J297" s="54">
        <v>116387049.66</v>
      </c>
      <c r="M297" s="57"/>
      <c r="N297" s="53"/>
      <c r="O297" s="54">
        <v>116387049.66</v>
      </c>
      <c r="R297" s="55"/>
    </row>
    <row r="298" spans="1:18" x14ac:dyDescent="0.25">
      <c r="A298" s="65">
        <v>615000</v>
      </c>
      <c r="C298" s="45" t="s">
        <v>226</v>
      </c>
      <c r="I298" s="53"/>
      <c r="J298" s="54">
        <v>6445725.0199999996</v>
      </c>
      <c r="M298" s="57"/>
      <c r="N298" s="53"/>
      <c r="O298" s="54">
        <v>6445725.0199999996</v>
      </c>
      <c r="R298" s="55"/>
    </row>
    <row r="299" spans="1:18" x14ac:dyDescent="0.25">
      <c r="A299" s="65">
        <v>616000</v>
      </c>
      <c r="C299" s="45" t="s">
        <v>178</v>
      </c>
      <c r="I299" s="53"/>
      <c r="J299" s="54">
        <v>32932210.25</v>
      </c>
      <c r="M299" s="56">
        <v>246272.3</v>
      </c>
      <c r="N299" s="53"/>
      <c r="O299" s="54">
        <v>32685937.949999999</v>
      </c>
      <c r="R299" s="55"/>
    </row>
    <row r="300" spans="1:18" x14ac:dyDescent="0.25">
      <c r="A300" s="65">
        <v>618000</v>
      </c>
      <c r="C300" s="45" t="s">
        <v>1807</v>
      </c>
      <c r="I300" s="53"/>
      <c r="J300" s="54">
        <v>1672416</v>
      </c>
      <c r="M300" s="56">
        <v>3000</v>
      </c>
      <c r="N300" s="53"/>
      <c r="O300" s="54">
        <v>1669416</v>
      </c>
      <c r="R300" s="55"/>
    </row>
    <row r="301" spans="1:18" x14ac:dyDescent="0.25">
      <c r="A301" s="65">
        <v>621000</v>
      </c>
      <c r="C301" s="45" t="s">
        <v>179</v>
      </c>
      <c r="I301" s="53"/>
      <c r="J301" s="54">
        <v>507631.57</v>
      </c>
      <c r="M301" s="56">
        <v>252631.57</v>
      </c>
      <c r="N301" s="53"/>
      <c r="O301" s="54">
        <v>255000</v>
      </c>
      <c r="R301" s="55"/>
    </row>
    <row r="302" spans="1:18" x14ac:dyDescent="0.25">
      <c r="A302" s="65">
        <v>622000</v>
      </c>
      <c r="C302" s="45" t="s">
        <v>197</v>
      </c>
      <c r="I302" s="53"/>
      <c r="J302" s="54">
        <v>55527393.060000002</v>
      </c>
      <c r="M302" s="56">
        <v>16569000</v>
      </c>
      <c r="N302" s="53"/>
      <c r="O302" s="54">
        <v>38958393.060000002</v>
      </c>
      <c r="R302" s="55"/>
    </row>
    <row r="303" spans="1:18" x14ac:dyDescent="0.25">
      <c r="A303" s="65">
        <v>625100</v>
      </c>
      <c r="C303" s="45" t="s">
        <v>1815</v>
      </c>
      <c r="I303" s="53"/>
      <c r="J303" s="54">
        <v>120000</v>
      </c>
      <c r="M303" s="56">
        <v>43000</v>
      </c>
      <c r="N303" s="53"/>
      <c r="O303" s="54">
        <v>77000</v>
      </c>
      <c r="R303" s="55"/>
    </row>
    <row r="304" spans="1:18" x14ac:dyDescent="0.25">
      <c r="A304" s="65">
        <v>625200</v>
      </c>
      <c r="C304" s="45" t="s">
        <v>1808</v>
      </c>
      <c r="I304" s="53"/>
      <c r="J304" s="54">
        <v>8624020</v>
      </c>
      <c r="M304" s="57"/>
      <c r="N304" s="53"/>
      <c r="O304" s="54">
        <v>8624020</v>
      </c>
      <c r="R304" s="55"/>
    </row>
    <row r="305" spans="1:18" x14ac:dyDescent="0.25">
      <c r="A305" s="65">
        <v>625300</v>
      </c>
      <c r="C305" s="45" t="s">
        <v>1812</v>
      </c>
      <c r="I305" s="53"/>
      <c r="J305" s="54">
        <v>33178666.670000002</v>
      </c>
      <c r="M305" s="57"/>
      <c r="N305" s="53"/>
      <c r="O305" s="54">
        <v>33178666.670000002</v>
      </c>
      <c r="R305" s="55"/>
    </row>
    <row r="306" spans="1:18" x14ac:dyDescent="0.25">
      <c r="A306" s="65">
        <v>625400</v>
      </c>
      <c r="C306" s="45" t="s">
        <v>180</v>
      </c>
      <c r="I306" s="53"/>
      <c r="J306" s="54">
        <v>1980980</v>
      </c>
      <c r="M306" s="56">
        <v>1000</v>
      </c>
      <c r="N306" s="53"/>
      <c r="O306" s="54">
        <v>1979980</v>
      </c>
      <c r="R306" s="55"/>
    </row>
    <row r="307" spans="1:18" x14ac:dyDescent="0.25">
      <c r="A307" s="65">
        <v>626100</v>
      </c>
      <c r="C307" s="45" t="s">
        <v>181</v>
      </c>
      <c r="I307" s="53"/>
      <c r="J307" s="54">
        <v>9589468</v>
      </c>
      <c r="M307" s="56">
        <v>405140</v>
      </c>
      <c r="N307" s="53"/>
      <c r="O307" s="54">
        <v>9184328</v>
      </c>
      <c r="R307" s="55"/>
    </row>
    <row r="308" spans="1:18" x14ac:dyDescent="0.25">
      <c r="A308" s="65">
        <v>626200</v>
      </c>
      <c r="C308" s="45" t="s">
        <v>182</v>
      </c>
      <c r="I308" s="53"/>
      <c r="J308" s="54">
        <v>548303.16</v>
      </c>
      <c r="M308" s="56">
        <v>31646.49</v>
      </c>
      <c r="N308" s="53"/>
      <c r="O308" s="54">
        <v>516656.67000000004</v>
      </c>
      <c r="R308" s="55"/>
    </row>
    <row r="309" spans="1:18" x14ac:dyDescent="0.25">
      <c r="A309" s="65">
        <v>626400</v>
      </c>
      <c r="C309" s="45" t="s">
        <v>183</v>
      </c>
      <c r="I309" s="53"/>
      <c r="J309" s="54">
        <v>151800</v>
      </c>
      <c r="M309" s="57"/>
      <c r="N309" s="53"/>
      <c r="O309" s="54">
        <v>151800</v>
      </c>
      <c r="R309" s="55"/>
    </row>
    <row r="310" spans="1:18" x14ac:dyDescent="0.25">
      <c r="A310" s="65">
        <v>627000</v>
      </c>
      <c r="C310" s="45" t="s">
        <v>184</v>
      </c>
      <c r="I310" s="53"/>
      <c r="J310" s="54">
        <v>21745948.82</v>
      </c>
      <c r="M310" s="56">
        <v>1200</v>
      </c>
      <c r="N310" s="53"/>
      <c r="O310" s="54">
        <v>21744748.82</v>
      </c>
      <c r="R310" s="55"/>
    </row>
    <row r="311" spans="1:18" x14ac:dyDescent="0.25">
      <c r="A311" s="65">
        <v>635000</v>
      </c>
      <c r="C311" s="45" t="s">
        <v>185</v>
      </c>
      <c r="I311" s="53"/>
      <c r="J311" s="54">
        <v>5483188.4699999997</v>
      </c>
      <c r="M311" s="57"/>
      <c r="N311" s="53"/>
      <c r="O311" s="54">
        <v>5483188.4699999997</v>
      </c>
      <c r="R311" s="55"/>
    </row>
    <row r="312" spans="1:18" x14ac:dyDescent="0.25">
      <c r="A312" s="65">
        <v>641000</v>
      </c>
      <c r="C312" s="45" t="s">
        <v>227</v>
      </c>
      <c r="I312" s="53"/>
      <c r="J312" s="54">
        <v>353493745.87</v>
      </c>
      <c r="M312" s="57"/>
      <c r="N312" s="53"/>
      <c r="O312" s="54">
        <v>353493745.87</v>
      </c>
      <c r="R312" s="55"/>
    </row>
    <row r="313" spans="1:18" x14ac:dyDescent="0.25">
      <c r="A313" s="65">
        <v>645100</v>
      </c>
      <c r="C313" s="45" t="s">
        <v>228</v>
      </c>
      <c r="I313" s="53"/>
      <c r="J313" s="54">
        <v>31272258.68</v>
      </c>
      <c r="M313" s="57"/>
      <c r="N313" s="53"/>
      <c r="O313" s="54">
        <v>31272258.68</v>
      </c>
      <c r="R313" s="55"/>
    </row>
    <row r="314" spans="1:18" x14ac:dyDescent="0.25">
      <c r="A314" s="65">
        <v>645200</v>
      </c>
      <c r="C314" s="45" t="s">
        <v>229</v>
      </c>
      <c r="I314" s="53"/>
      <c r="J314" s="54">
        <v>12027791.800000001</v>
      </c>
      <c r="M314" s="57"/>
      <c r="N314" s="53"/>
      <c r="O314" s="54">
        <v>12027791.800000001</v>
      </c>
      <c r="R314" s="55"/>
    </row>
    <row r="315" spans="1:18" x14ac:dyDescent="0.25">
      <c r="A315" s="65">
        <v>645300</v>
      </c>
      <c r="C315" s="45" t="s">
        <v>230</v>
      </c>
      <c r="I315" s="53"/>
      <c r="J315" s="54">
        <v>2405558.36</v>
      </c>
      <c r="M315" s="57"/>
      <c r="N315" s="53"/>
      <c r="O315" s="54">
        <v>2405558.36</v>
      </c>
      <c r="R315" s="55"/>
    </row>
    <row r="316" spans="1:18" x14ac:dyDescent="0.25">
      <c r="A316" s="65">
        <v>647000</v>
      </c>
      <c r="C316" s="45" t="s">
        <v>1809</v>
      </c>
      <c r="I316" s="53"/>
      <c r="J316" s="54">
        <v>4860000</v>
      </c>
      <c r="M316" s="57"/>
      <c r="N316" s="53"/>
      <c r="O316" s="54">
        <v>4860000</v>
      </c>
      <c r="R316" s="55"/>
    </row>
    <row r="317" spans="1:18" x14ac:dyDescent="0.25">
      <c r="A317" s="65">
        <v>648000</v>
      </c>
      <c r="C317" s="45" t="s">
        <v>1811</v>
      </c>
      <c r="I317" s="53"/>
      <c r="J317" s="54">
        <v>354167</v>
      </c>
      <c r="M317" s="57"/>
      <c r="N317" s="53"/>
      <c r="O317" s="54">
        <v>354167</v>
      </c>
      <c r="R317" s="55"/>
    </row>
    <row r="318" spans="1:18" x14ac:dyDescent="0.25">
      <c r="A318" s="65">
        <v>648300</v>
      </c>
      <c r="C318" s="45" t="s">
        <v>231</v>
      </c>
      <c r="I318" s="53"/>
      <c r="J318" s="54">
        <v>2392854.5499999998</v>
      </c>
      <c r="M318" s="57"/>
      <c r="N318" s="53"/>
      <c r="O318" s="54">
        <v>2392854.5499999998</v>
      </c>
      <c r="R318" s="55"/>
    </row>
    <row r="319" spans="1:18" x14ac:dyDescent="0.25">
      <c r="A319" s="65">
        <v>651000</v>
      </c>
      <c r="C319" s="45" t="s">
        <v>232</v>
      </c>
      <c r="I319" s="53"/>
      <c r="J319" s="54">
        <v>13527586.449999999</v>
      </c>
      <c r="M319" s="57"/>
      <c r="N319" s="53"/>
      <c r="O319" s="54">
        <v>13527586.449999999</v>
      </c>
      <c r="R319" s="55"/>
    </row>
    <row r="320" spans="1:18" x14ac:dyDescent="0.25">
      <c r="A320" s="65">
        <v>658000</v>
      </c>
      <c r="C320" s="45" t="s">
        <v>186</v>
      </c>
      <c r="I320" s="53"/>
      <c r="J320" s="54">
        <v>87.2</v>
      </c>
      <c r="M320" s="56">
        <v>685.39</v>
      </c>
      <c r="N320" s="53"/>
      <c r="O320" s="55"/>
      <c r="R320" s="54">
        <v>598.18999999999994</v>
      </c>
    </row>
    <row r="321" spans="1:18" x14ac:dyDescent="0.25">
      <c r="A321" s="65">
        <v>706000</v>
      </c>
      <c r="C321" s="45" t="s">
        <v>187</v>
      </c>
      <c r="I321" s="53"/>
      <c r="J321" s="54">
        <v>174992754.38999999</v>
      </c>
      <c r="M321" s="56">
        <v>824030441.25999999</v>
      </c>
      <c r="N321" s="53"/>
      <c r="O321" s="55"/>
      <c r="R321" s="54">
        <v>649037686.87</v>
      </c>
    </row>
    <row r="322" spans="1:18" x14ac:dyDescent="0.25">
      <c r="A322" s="65">
        <v>757000</v>
      </c>
      <c r="C322" s="45" t="s">
        <v>1816</v>
      </c>
      <c r="I322" s="53"/>
      <c r="J322" s="55"/>
      <c r="M322" s="56">
        <v>10</v>
      </c>
      <c r="N322" s="53"/>
      <c r="O322" s="55"/>
      <c r="R322" s="54">
        <v>10</v>
      </c>
    </row>
    <row r="323" spans="1:18" x14ac:dyDescent="0.25">
      <c r="A323" s="65">
        <v>758000</v>
      </c>
      <c r="C323" s="45" t="s">
        <v>223</v>
      </c>
      <c r="I323" s="53"/>
      <c r="J323" s="54">
        <v>7.58</v>
      </c>
      <c r="M323" s="56">
        <v>22746.06</v>
      </c>
      <c r="N323" s="53"/>
      <c r="O323" s="55"/>
      <c r="R323" s="54">
        <v>22738.48</v>
      </c>
    </row>
    <row r="324" spans="1:18" x14ac:dyDescent="0.25">
      <c r="A324" s="65">
        <v>766000</v>
      </c>
      <c r="C324" s="45" t="s">
        <v>1810</v>
      </c>
      <c r="I324" s="53"/>
      <c r="J324" s="55"/>
      <c r="M324" s="56">
        <v>892245.69</v>
      </c>
      <c r="N324" s="53"/>
      <c r="O324" s="55"/>
      <c r="R324" s="54">
        <v>892245.69</v>
      </c>
    </row>
    <row r="325" spans="1:18" x14ac:dyDescent="0.25">
      <c r="A325" s="58"/>
      <c r="B325" s="42"/>
      <c r="C325" s="42"/>
      <c r="D325" s="42"/>
      <c r="E325" s="42"/>
      <c r="F325" s="42"/>
      <c r="G325" s="42"/>
      <c r="H325" s="42"/>
      <c r="I325" s="58"/>
      <c r="J325" s="59"/>
      <c r="K325" s="42"/>
      <c r="L325" s="42"/>
      <c r="M325" s="42"/>
      <c r="N325" s="58"/>
      <c r="O325" s="59"/>
      <c r="P325" s="42"/>
      <c r="Q325" s="42"/>
      <c r="R325" s="59"/>
    </row>
    <row r="326" spans="1:18" x14ac:dyDescent="0.25">
      <c r="A326" s="53"/>
      <c r="G326" s="62" t="s">
        <v>110</v>
      </c>
      <c r="I326" s="53"/>
      <c r="J326" s="63">
        <v>76384082650.720032</v>
      </c>
      <c r="M326" s="64">
        <v>76491221738.389984</v>
      </c>
      <c r="N326" s="53"/>
      <c r="O326" s="55"/>
      <c r="R326" s="63">
        <v>107139087.66995239</v>
      </c>
    </row>
    <row r="327" spans="1:18" x14ac:dyDescent="0.25">
      <c r="A327" s="60"/>
      <c r="B327" s="38"/>
      <c r="C327" s="38"/>
      <c r="D327" s="38"/>
      <c r="E327" s="38"/>
      <c r="F327" s="38"/>
      <c r="G327" s="38"/>
      <c r="H327" s="38"/>
      <c r="I327" s="60"/>
      <c r="J327" s="61"/>
      <c r="K327" s="38"/>
      <c r="L327" s="38"/>
      <c r="M327" s="38"/>
      <c r="N327" s="60"/>
      <c r="O327" s="61"/>
      <c r="P327" s="38"/>
      <c r="Q327" s="38"/>
      <c r="R327" s="61"/>
    </row>
    <row r="328" spans="1:18" x14ac:dyDescent="0.25">
      <c r="A328" s="53"/>
      <c r="G328" s="62" t="s">
        <v>111</v>
      </c>
      <c r="I328" s="53"/>
      <c r="J328" s="63">
        <v>953815351.43000007</v>
      </c>
      <c r="M328" s="64">
        <v>846676263.75999999</v>
      </c>
      <c r="N328" s="53"/>
      <c r="O328" s="63">
        <v>107139087.67000008</v>
      </c>
      <c r="R328" s="55"/>
    </row>
    <row r="329" spans="1:18" x14ac:dyDescent="0.25">
      <c r="A329" s="58"/>
      <c r="B329" s="42"/>
      <c r="C329" s="42"/>
      <c r="D329" s="42"/>
      <c r="E329" s="42"/>
      <c r="F329" s="42"/>
      <c r="G329" s="42"/>
      <c r="H329" s="42"/>
      <c r="I329" s="58"/>
      <c r="J329" s="59"/>
      <c r="K329" s="42"/>
      <c r="L329" s="42"/>
      <c r="M329" s="42"/>
      <c r="N329" s="58"/>
      <c r="O329" s="59"/>
      <c r="P329" s="42"/>
      <c r="Q329" s="42"/>
      <c r="R329" s="59"/>
    </row>
    <row r="330" spans="1:18" x14ac:dyDescent="0.25">
      <c r="A330" s="53"/>
      <c r="G330" s="62" t="s">
        <v>112</v>
      </c>
      <c r="I330" s="53"/>
      <c r="J330" s="63">
        <v>77337898002.150024</v>
      </c>
      <c r="M330" s="64">
        <v>77337898002.149979</v>
      </c>
      <c r="N330" s="53"/>
      <c r="O330" s="63">
        <v>4.76837158203125E-5</v>
      </c>
      <c r="R330" s="55"/>
    </row>
    <row r="331" spans="1:18" x14ac:dyDescent="0.25">
      <c r="A331" s="58"/>
      <c r="B331" s="42"/>
      <c r="C331" s="42"/>
      <c r="D331" s="42"/>
      <c r="E331" s="42"/>
      <c r="F331" s="42"/>
      <c r="G331" s="42"/>
      <c r="H331" s="42"/>
      <c r="I331" s="58"/>
      <c r="J331" s="59"/>
      <c r="K331" s="42"/>
      <c r="L331" s="42"/>
      <c r="M331" s="42"/>
      <c r="N331" s="58"/>
      <c r="O331" s="59"/>
      <c r="P331" s="42"/>
      <c r="Q331" s="42"/>
      <c r="R331" s="59"/>
    </row>
  </sheetData>
  <mergeCells count="1">
    <mergeCell ref="A8:B8"/>
  </mergeCells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N599"/>
  <sheetViews>
    <sheetView tabSelected="1" topLeftCell="A281" zoomScale="80" zoomScaleNormal="80" workbookViewId="0">
      <selection activeCell="H306" sqref="H306"/>
    </sheetView>
  </sheetViews>
  <sheetFormatPr baseColWidth="10" defaultRowHeight="15" x14ac:dyDescent="0.25"/>
  <cols>
    <col min="2" max="2" width="20.7109375" customWidth="1"/>
    <col min="3" max="4" width="19.42578125" bestFit="1" customWidth="1"/>
    <col min="5" max="5" width="25.7109375" customWidth="1"/>
    <col min="6" max="6" width="68.140625" bestFit="1" customWidth="1"/>
    <col min="7" max="7" width="35" bestFit="1" customWidth="1"/>
    <col min="8" max="8" width="20.7109375" customWidth="1"/>
    <col min="9" max="9" width="56.7109375" bestFit="1" customWidth="1"/>
    <col min="10" max="10" width="14.85546875" customWidth="1"/>
    <col min="11" max="13" width="16.5703125" bestFit="1" customWidth="1"/>
    <col min="14" max="14" width="12.85546875" bestFit="1" customWidth="1"/>
    <col min="17" max="17" width="16.42578125" bestFit="1" customWidth="1"/>
  </cols>
  <sheetData>
    <row r="1" spans="1:10" s="6" customFormat="1" x14ac:dyDescent="0.25">
      <c r="A1" s="5" t="s">
        <v>3</v>
      </c>
      <c r="C1" s="6" t="s">
        <v>0</v>
      </c>
      <c r="D1" s="6" t="s">
        <v>1</v>
      </c>
      <c r="E1" s="6" t="s">
        <v>16</v>
      </c>
    </row>
    <row r="2" spans="1:10" s="6" customFormat="1" x14ac:dyDescent="0.25">
      <c r="B2" s="6">
        <v>467110</v>
      </c>
      <c r="C2" s="1">
        <f>IFERROR(INDEX('Balance des comptes'!$O:$O,MATCH('2026'!B2,'Balance des comptes'!$A:$A,0)),0)</f>
        <v>0</v>
      </c>
      <c r="D2" s="1">
        <f>IFERROR(INDEX('Balance des comptes'!$R:$R,MATCH('2026'!B2,'Balance des comptes'!$A:$A,0)),0)</f>
        <v>32571586.879999876</v>
      </c>
      <c r="E2" s="1">
        <f>+C2-D2</f>
        <v>-32571586.879999876</v>
      </c>
      <c r="F2" s="26"/>
      <c r="G2" s="10"/>
    </row>
    <row r="3" spans="1:10" s="6" customFormat="1" x14ac:dyDescent="0.25">
      <c r="B3" s="6">
        <v>460110</v>
      </c>
      <c r="C3" s="1">
        <f>IFERROR(INDEX('Balance des comptes'!$O:$O,MATCH('2026'!B3,'Balance des comptes'!$A:$A,0)),0)</f>
        <v>30278601</v>
      </c>
      <c r="D3" s="1">
        <f>IFERROR(INDEX('Balance des comptes'!$R:$R,MATCH('2026'!B3,'Balance des comptes'!$A:$A,0)),0)</f>
        <v>0</v>
      </c>
      <c r="E3" s="1">
        <f t="shared" ref="E3:E7" si="0">+C3-D3</f>
        <v>30278601</v>
      </c>
      <c r="F3" s="26"/>
      <c r="G3" s="10"/>
    </row>
    <row r="4" spans="1:10" s="6" customFormat="1" x14ac:dyDescent="0.25">
      <c r="B4" s="6">
        <v>461110</v>
      </c>
      <c r="C4" s="1">
        <f>IFERROR(INDEX('Balance des comptes'!$O:$O,MATCH('2026'!B4,'Balance des comptes'!$A:$A,0)),0)</f>
        <v>0</v>
      </c>
      <c r="D4" s="1">
        <f>IFERROR(INDEX('Balance des comptes'!$R:$R,MATCH('2026'!B4,'Balance des comptes'!$A:$A,0)),0)</f>
        <v>0</v>
      </c>
      <c r="E4" s="1">
        <f t="shared" si="0"/>
        <v>0</v>
      </c>
      <c r="F4" s="26"/>
      <c r="G4" s="10"/>
    </row>
    <row r="5" spans="1:10" s="6" customFormat="1" x14ac:dyDescent="0.25">
      <c r="B5" s="6">
        <v>462110</v>
      </c>
      <c r="C5" s="1">
        <f>IFERROR(INDEX('Balance des comptes'!$O:$O,MATCH('2026'!B5,'Balance des comptes'!$A:$A,0)),0)</f>
        <v>0</v>
      </c>
      <c r="D5" s="1">
        <f>IFERROR(INDEX('Balance des comptes'!$R:$R,MATCH('2026'!B5,'Balance des comptes'!$A:$A,0)),0)</f>
        <v>170100</v>
      </c>
      <c r="E5" s="1">
        <f t="shared" si="0"/>
        <v>-170100</v>
      </c>
      <c r="F5" s="26"/>
      <c r="G5" s="10"/>
    </row>
    <row r="6" spans="1:10" s="6" customFormat="1" x14ac:dyDescent="0.25">
      <c r="B6" s="6" t="s">
        <v>17</v>
      </c>
      <c r="C6" s="1">
        <f>SUM(C2:C5)</f>
        <v>30278601</v>
      </c>
      <c r="D6" s="1">
        <f>SUM(D2:D5)</f>
        <v>32741686.879999876</v>
      </c>
      <c r="E6" s="1">
        <f>SUM(E2:E5)</f>
        <v>-2463085.879999876</v>
      </c>
      <c r="G6" s="28"/>
    </row>
    <row r="7" spans="1:10" s="6" customFormat="1" x14ac:dyDescent="0.25">
      <c r="B7" s="6">
        <v>512110</v>
      </c>
      <c r="C7" s="1">
        <f>IFERROR(INDEX('Balance des comptes'!$O:$O,MATCH('2026'!B7,'Balance des comptes'!$A:$A,0)),0)</f>
        <v>1489728.6599999666</v>
      </c>
      <c r="D7" s="1">
        <f>IFERROR(INDEX('Balance des comptes'!$R:$R,MATCH('2026'!B7,'Balance des comptes'!$A:$A,0)),0)</f>
        <v>0</v>
      </c>
      <c r="E7" s="1">
        <f t="shared" si="0"/>
        <v>1489728.6599999666</v>
      </c>
      <c r="G7" s="1"/>
      <c r="I7" s="1"/>
    </row>
    <row r="8" spans="1:10" s="6" customFormat="1" x14ac:dyDescent="0.25">
      <c r="B8" s="6" t="s">
        <v>18</v>
      </c>
      <c r="C8" s="1">
        <f>SUM(C7:C7)</f>
        <v>1489728.6599999666</v>
      </c>
      <c r="D8" s="1">
        <f>SUM(D7:D7)</f>
        <v>0</v>
      </c>
      <c r="E8" s="1">
        <f>SUM(E7:E7)</f>
        <v>1489728.6599999666</v>
      </c>
      <c r="G8" s="3"/>
      <c r="I8" s="1"/>
    </row>
    <row r="9" spans="1:10" s="6" customFormat="1" x14ac:dyDescent="0.25">
      <c r="G9" s="3"/>
      <c r="H9" s="25"/>
      <c r="I9" s="1"/>
    </row>
    <row r="10" spans="1:10" s="6" customFormat="1" x14ac:dyDescent="0.25">
      <c r="B10" s="6" t="s">
        <v>19</v>
      </c>
      <c r="E10" s="12">
        <f>+E6+E8</f>
        <v>-973357.2199999094</v>
      </c>
      <c r="F10" s="3"/>
      <c r="G10" s="3"/>
      <c r="H10" s="25"/>
      <c r="I10" s="1"/>
    </row>
    <row r="11" spans="1:10" x14ac:dyDescent="0.25">
      <c r="E11" s="2"/>
      <c r="J11" s="19"/>
    </row>
    <row r="12" spans="1:10" s="6" customFormat="1" x14ac:dyDescent="0.25">
      <c r="A12" s="5" t="s">
        <v>9</v>
      </c>
      <c r="C12" s="6" t="s">
        <v>0</v>
      </c>
      <c r="D12" s="6" t="s">
        <v>1</v>
      </c>
      <c r="E12" s="6" t="s">
        <v>16</v>
      </c>
    </row>
    <row r="13" spans="1:10" s="6" customFormat="1" x14ac:dyDescent="0.25">
      <c r="B13" s="6">
        <v>467120</v>
      </c>
      <c r="C13" s="1">
        <f>IFERROR(INDEX('Balance des comptes'!$O:$O,MATCH('2026'!B13,'Balance des comptes'!$A:$A,0)),0)</f>
        <v>0</v>
      </c>
      <c r="D13" s="1">
        <f>IFERROR(INDEX('Balance des comptes'!$R:$R,MATCH('2026'!B13,'Balance des comptes'!$A:$A,0)),0)</f>
        <v>140472673.05000001</v>
      </c>
      <c r="E13" s="1">
        <f>+C13-D13</f>
        <v>-140472673.05000001</v>
      </c>
    </row>
    <row r="14" spans="1:10" s="6" customFormat="1" x14ac:dyDescent="0.25">
      <c r="B14" s="6">
        <v>460120</v>
      </c>
      <c r="C14" s="1">
        <f>IFERROR(INDEX('Balance des comptes'!$O:$O,MATCH('2026'!B14,'Balance des comptes'!$A:$A,0)),0)</f>
        <v>0</v>
      </c>
      <c r="D14" s="1">
        <f>IFERROR(INDEX('Balance des comptes'!$R:$R,MATCH('2026'!B14,'Balance des comptes'!$A:$A,0)),0)</f>
        <v>0</v>
      </c>
      <c r="E14" s="1">
        <f t="shared" ref="E14:E16" si="1">+C14-D14</f>
        <v>0</v>
      </c>
    </row>
    <row r="15" spans="1:10" s="6" customFormat="1" x14ac:dyDescent="0.25">
      <c r="B15" s="6">
        <v>461120</v>
      </c>
      <c r="C15" s="1">
        <f>IFERROR(INDEX('Balance des comptes'!$O:$O,MATCH('2026'!B15,'Balance des comptes'!$A:$A,0)),0)</f>
        <v>0</v>
      </c>
      <c r="D15" s="1">
        <f>IFERROR(INDEX('Balance des comptes'!$R:$R,MATCH('2026'!B15,'Balance des comptes'!$A:$A,0)),0)</f>
        <v>0</v>
      </c>
      <c r="E15" s="1">
        <f t="shared" si="1"/>
        <v>0</v>
      </c>
    </row>
    <row r="16" spans="1:10" s="6" customFormat="1" x14ac:dyDescent="0.25">
      <c r="B16" s="6">
        <v>462120</v>
      </c>
      <c r="C16" s="1">
        <f>IFERROR(INDEX('Balance des comptes'!$O:$O,MATCH('2026'!B16,'Balance des comptes'!$A:$A,0)),0)</f>
        <v>0</v>
      </c>
      <c r="D16" s="1">
        <f>IFERROR(INDEX('Balance des comptes'!$R:$R,MATCH('2026'!B16,'Balance des comptes'!$A:$A,0)),0)</f>
        <v>0</v>
      </c>
      <c r="E16" s="1">
        <f t="shared" si="1"/>
        <v>0</v>
      </c>
    </row>
    <row r="17" spans="1:9" s="6" customFormat="1" x14ac:dyDescent="0.25">
      <c r="B17" s="6" t="s">
        <v>17</v>
      </c>
      <c r="C17" s="1">
        <f>SUM(C13:C16)</f>
        <v>0</v>
      </c>
      <c r="D17" s="1">
        <f>SUM(D13:D16)</f>
        <v>140472673.05000001</v>
      </c>
      <c r="E17" s="1">
        <f>SUM(E13:E16)</f>
        <v>-140472673.05000001</v>
      </c>
    </row>
    <row r="18" spans="1:9" s="6" customFormat="1" x14ac:dyDescent="0.25">
      <c r="B18" s="6">
        <v>512120</v>
      </c>
      <c r="C18" s="1">
        <f>IFERROR(INDEX('Balance des comptes'!$O:$O,MATCH('2026'!B18,'Balance des comptes'!$A:$A,0)),0)</f>
        <v>0</v>
      </c>
      <c r="D18" s="1">
        <f>IFERROR(INDEX('Balance des comptes'!$R:$R,MATCH('2026'!B18,'Balance des comptes'!$A:$A,0)),0)</f>
        <v>69969.219999998808</v>
      </c>
      <c r="E18" s="1">
        <f>+C18-D18</f>
        <v>-69969.219999998808</v>
      </c>
      <c r="G18" s="6" t="s">
        <v>17</v>
      </c>
      <c r="H18" s="3">
        <f>+E17+E28</f>
        <v>69969.019999980927</v>
      </c>
    </row>
    <row r="19" spans="1:9" s="6" customFormat="1" x14ac:dyDescent="0.25">
      <c r="B19" s="6" t="s">
        <v>18</v>
      </c>
      <c r="C19" s="1">
        <f>SUM(C18:C18)</f>
        <v>0</v>
      </c>
      <c r="D19" s="1">
        <f>SUM(D18:D18)</f>
        <v>69969.219999998808</v>
      </c>
      <c r="E19" s="1">
        <f>SUM(E18:E18)-E15</f>
        <v>-69969.219999998808</v>
      </c>
      <c r="G19" s="6" t="s">
        <v>18</v>
      </c>
      <c r="H19" s="3">
        <f>+E19</f>
        <v>-69969.219999998808</v>
      </c>
    </row>
    <row r="20" spans="1:9" s="6" customFormat="1" x14ac:dyDescent="0.25">
      <c r="F20" s="9"/>
      <c r="G20" s="6" t="s">
        <v>19</v>
      </c>
      <c r="H20" s="12">
        <f>+H18+H19</f>
        <v>-0.20000001788139343</v>
      </c>
    </row>
    <row r="21" spans="1:9" s="6" customFormat="1" x14ac:dyDescent="0.25">
      <c r="B21" s="6" t="s">
        <v>19</v>
      </c>
      <c r="E21" s="3">
        <f>+E17+E19</f>
        <v>-140542642.27000001</v>
      </c>
      <c r="F21" s="9"/>
      <c r="G21" s="1"/>
    </row>
    <row r="22" spans="1:9" s="6" customFormat="1" x14ac:dyDescent="0.25">
      <c r="F22" s="9"/>
      <c r="G22" s="3"/>
    </row>
    <row r="23" spans="1:9" s="6" customFormat="1" x14ac:dyDescent="0.25">
      <c r="A23" s="5" t="s">
        <v>11</v>
      </c>
      <c r="C23" s="6" t="s">
        <v>0</v>
      </c>
      <c r="D23" s="6" t="s">
        <v>1</v>
      </c>
      <c r="E23" s="6" t="s">
        <v>16</v>
      </c>
    </row>
    <row r="24" spans="1:9" s="6" customFormat="1" x14ac:dyDescent="0.25">
      <c r="B24" s="6">
        <v>467121</v>
      </c>
      <c r="C24" s="1">
        <f>IFERROR(INDEX('Balance des comptes'!$O:$O,MATCH('2026'!B24,'Balance des comptes'!$A:$A,0)),0)</f>
        <v>144308376.06999999</v>
      </c>
      <c r="D24" s="1">
        <f>IFERROR(INDEX('Balance des comptes'!$R:$R,MATCH('2026'!B24,'Balance des comptes'!$A:$A,0)),0)</f>
        <v>0</v>
      </c>
      <c r="E24" s="1">
        <f>+C24-D24</f>
        <v>144308376.06999999</v>
      </c>
    </row>
    <row r="25" spans="1:9" s="6" customFormat="1" x14ac:dyDescent="0.25">
      <c r="B25" s="6">
        <v>460121</v>
      </c>
      <c r="C25" s="1">
        <f>IFERROR(INDEX('Balance des comptes'!$O:$O,MATCH('2026'!B25,'Balance des comptes'!$A:$A,0)),0)</f>
        <v>0</v>
      </c>
      <c r="D25" s="1">
        <f>IFERROR(INDEX('Balance des comptes'!$R:$R,MATCH('2026'!B25,'Balance des comptes'!$A:$A,0)),0)</f>
        <v>0</v>
      </c>
      <c r="E25" s="1">
        <f>+C25-D25</f>
        <v>0</v>
      </c>
      <c r="F25" s="9"/>
    </row>
    <row r="26" spans="1:9" s="6" customFormat="1" x14ac:dyDescent="0.25">
      <c r="B26" s="6">
        <v>461121</v>
      </c>
      <c r="C26" s="1">
        <f>IFERROR(INDEX('Balance des comptes'!$O:$O,MATCH('2026'!B26,'Balance des comptes'!$A:$A,0)),0)</f>
        <v>0</v>
      </c>
      <c r="D26" s="1">
        <f>IFERROR(INDEX('Balance des comptes'!$R:$R,MATCH('2026'!B26,'Balance des comptes'!$A:$A,0)),0)</f>
        <v>0</v>
      </c>
      <c r="E26" s="1">
        <f>+C26-D26</f>
        <v>0</v>
      </c>
    </row>
    <row r="27" spans="1:9" s="6" customFormat="1" x14ac:dyDescent="0.25">
      <c r="B27" s="6">
        <v>462121</v>
      </c>
      <c r="C27" s="1">
        <f>IFERROR(INDEX('Balance des comptes'!$O:$O,MATCH('2026'!B27,'Balance des comptes'!$A:$A,0)),0)</f>
        <v>0</v>
      </c>
      <c r="D27" s="1">
        <f>IFERROR(INDEX('Balance des comptes'!$R:$R,MATCH('2026'!B27,'Balance des comptes'!$A:$A,0)),0)</f>
        <v>3765734</v>
      </c>
      <c r="E27" s="1">
        <f>+C27-D27</f>
        <v>-3765734</v>
      </c>
      <c r="F27" s="3"/>
    </row>
    <row r="28" spans="1:9" s="6" customFormat="1" x14ac:dyDescent="0.25">
      <c r="B28" s="6" t="s">
        <v>17</v>
      </c>
      <c r="C28" s="3">
        <f>SUM(C24:C27)</f>
        <v>144308376.06999999</v>
      </c>
      <c r="D28" s="3">
        <f>SUM(D24:D27)</f>
        <v>3765734</v>
      </c>
      <c r="E28" s="3">
        <f>SUM(E24:E27)</f>
        <v>140542642.06999999</v>
      </c>
      <c r="F28" s="1"/>
    </row>
    <row r="29" spans="1:9" s="6" customFormat="1" x14ac:dyDescent="0.25">
      <c r="I29" s="1"/>
    </row>
    <row r="30" spans="1:9" x14ac:dyDescent="0.25">
      <c r="I30" s="2"/>
    </row>
    <row r="31" spans="1:9" s="6" customFormat="1" x14ac:dyDescent="0.25">
      <c r="A31" s="5" t="s">
        <v>36</v>
      </c>
      <c r="C31" s="6" t="s">
        <v>0</v>
      </c>
      <c r="D31" s="6" t="s">
        <v>1</v>
      </c>
      <c r="E31" s="6" t="s">
        <v>16</v>
      </c>
      <c r="H31" s="1"/>
    </row>
    <row r="32" spans="1:9" s="6" customFormat="1" x14ac:dyDescent="0.25">
      <c r="B32" s="6">
        <v>467123</v>
      </c>
      <c r="C32" s="1">
        <f>IFERROR(INDEX('Balance des comptes'!$O:$O,MATCH('2026'!B32,'Balance des comptes'!$A:$A,0)),0)</f>
        <v>0</v>
      </c>
      <c r="D32" s="1">
        <f>IFERROR(INDEX('Balance des comptes'!$R:$R,MATCH('2026'!B32,'Balance des comptes'!$A:$A,0)),0)</f>
        <v>5416187.8800000027</v>
      </c>
      <c r="E32" s="3">
        <f>+C32-D32</f>
        <v>-5416187.8800000027</v>
      </c>
    </row>
    <row r="33" spans="1:8" s="6" customFormat="1" x14ac:dyDescent="0.25">
      <c r="B33" s="6">
        <v>460123</v>
      </c>
      <c r="C33" s="1">
        <f>IFERROR(INDEX('Balance des comptes'!$O:$O,MATCH('2026'!B33,'Balance des comptes'!$A:$A,0)),0)</f>
        <v>0</v>
      </c>
      <c r="D33" s="1">
        <f>IFERROR(INDEX('Balance des comptes'!$R:$R,MATCH('2026'!B33,'Balance des comptes'!$A:$A,0)),0)</f>
        <v>0</v>
      </c>
      <c r="E33" s="3">
        <f>+C33-D33</f>
        <v>0</v>
      </c>
      <c r="G33" s="6" t="s">
        <v>17</v>
      </c>
      <c r="H33" s="3">
        <f>+E36+E43</f>
        <v>-8624968.7700000182</v>
      </c>
    </row>
    <row r="34" spans="1:8" s="6" customFormat="1" x14ac:dyDescent="0.25">
      <c r="B34" s="6">
        <v>461123</v>
      </c>
      <c r="C34" s="1">
        <f>IFERROR(INDEX('Balance des comptes'!$O:$O,MATCH('2026'!B34,'Balance des comptes'!$A:$A,0)),0)</f>
        <v>0</v>
      </c>
      <c r="D34" s="1">
        <f>IFERROR(INDEX('Balance des comptes'!$R:$R,MATCH('2026'!B34,'Balance des comptes'!$A:$A,0)),0)</f>
        <v>0</v>
      </c>
      <c r="E34" s="3">
        <f>+C34-D34</f>
        <v>0</v>
      </c>
      <c r="G34" s="6" t="s">
        <v>18</v>
      </c>
      <c r="H34" s="3">
        <f>+E45</f>
        <v>8795039.7700000033</v>
      </c>
    </row>
    <row r="35" spans="1:8" s="6" customFormat="1" x14ac:dyDescent="0.25">
      <c r="B35" s="6">
        <v>462123</v>
      </c>
      <c r="C35" s="1">
        <f>IFERROR(INDEX('Balance des comptes'!$O:$O,MATCH('2026'!B35,'Balance des comptes'!$A:$A,0)),0)</f>
        <v>0</v>
      </c>
      <c r="D35" s="1">
        <f>IFERROR(INDEX('Balance des comptes'!$R:$R,MATCH('2026'!B35,'Balance des comptes'!$A:$A,0)),0)</f>
        <v>201300</v>
      </c>
      <c r="E35" s="3">
        <f>+C35-D35</f>
        <v>-201300</v>
      </c>
      <c r="G35" s="6" t="s">
        <v>19</v>
      </c>
      <c r="H35" s="12">
        <f>+H33+H34</f>
        <v>170070.9999999851</v>
      </c>
    </row>
    <row r="36" spans="1:8" s="6" customFormat="1" x14ac:dyDescent="0.25">
      <c r="B36" s="6" t="s">
        <v>17</v>
      </c>
      <c r="C36" s="3">
        <f>SUM(C32:C35)</f>
        <v>0</v>
      </c>
      <c r="D36" s="3">
        <f>SUM(D32:D35)</f>
        <v>5617487.8800000027</v>
      </c>
      <c r="E36" s="3">
        <f>SUM(E32:E35)</f>
        <v>-5617487.8800000027</v>
      </c>
    </row>
    <row r="37" spans="1:8" s="6" customFormat="1" x14ac:dyDescent="0.25">
      <c r="C37" s="3"/>
      <c r="D37" s="3"/>
      <c r="E37" s="3"/>
    </row>
    <row r="38" spans="1:8" s="6" customFormat="1" x14ac:dyDescent="0.25">
      <c r="A38" s="5" t="s">
        <v>124</v>
      </c>
      <c r="C38" s="6" t="s">
        <v>0</v>
      </c>
      <c r="D38" s="6" t="s">
        <v>1</v>
      </c>
      <c r="E38" s="6" t="s">
        <v>16</v>
      </c>
    </row>
    <row r="39" spans="1:8" s="6" customFormat="1" x14ac:dyDescent="0.25">
      <c r="B39" s="6">
        <v>467124</v>
      </c>
      <c r="C39" s="1">
        <f>IFERROR(INDEX('Balance des comptes'!$O:$O,MATCH('2026'!B39,'Balance des comptes'!$A:$A,0)),0)</f>
        <v>0</v>
      </c>
      <c r="D39" s="1">
        <f>IFERROR(INDEX('Balance des comptes'!$R:$R,MATCH('2026'!B39,'Balance des comptes'!$A:$A,0)),0)</f>
        <v>20288474.49000001</v>
      </c>
      <c r="E39" s="3">
        <f>+C39-D39</f>
        <v>-20288474.49000001</v>
      </c>
    </row>
    <row r="40" spans="1:8" s="6" customFormat="1" x14ac:dyDescent="0.25">
      <c r="B40" s="6">
        <v>460124</v>
      </c>
      <c r="C40" s="1">
        <f>IFERROR(INDEX('Balance des comptes'!$O:$O,MATCH('2026'!B40,'Balance des comptes'!$A:$A,0)),0)</f>
        <v>17280993.599999994</v>
      </c>
      <c r="D40" s="1">
        <f>IFERROR(INDEX('Balance des comptes'!$R:$R,MATCH('2026'!B40,'Balance des comptes'!$A:$A,0)),0)</f>
        <v>0</v>
      </c>
      <c r="E40" s="3">
        <f>+C40-D40</f>
        <v>17280993.599999994</v>
      </c>
    </row>
    <row r="41" spans="1:8" s="6" customFormat="1" x14ac:dyDescent="0.25">
      <c r="B41" s="6">
        <v>461124</v>
      </c>
      <c r="C41" s="1">
        <f>IFERROR(INDEX('Balance des comptes'!$O:$O,MATCH('2026'!B41,'Balance des comptes'!$A:$A,0)),0)</f>
        <v>0</v>
      </c>
      <c r="D41" s="1">
        <f>IFERROR(INDEX('Balance des comptes'!$R:$R,MATCH('2026'!B41,'Balance des comptes'!$A:$A,0)),0)</f>
        <v>0</v>
      </c>
      <c r="E41" s="3">
        <f>+C41-D41</f>
        <v>0</v>
      </c>
    </row>
    <row r="42" spans="1:8" s="6" customFormat="1" x14ac:dyDescent="0.25">
      <c r="B42" s="6">
        <v>462124</v>
      </c>
      <c r="C42" s="1">
        <f>IFERROR(INDEX('Balance des comptes'!$O:$O,MATCH('2026'!B42,'Balance des comptes'!$A:$A,0)),0)</f>
        <v>0</v>
      </c>
      <c r="D42" s="1">
        <f>IFERROR(INDEX('Balance des comptes'!$R:$R,MATCH('2026'!B42,'Balance des comptes'!$A:$A,0)),0)</f>
        <v>0</v>
      </c>
      <c r="E42" s="3">
        <f>+C42-D42</f>
        <v>0</v>
      </c>
    </row>
    <row r="43" spans="1:8" s="6" customFormat="1" x14ac:dyDescent="0.25">
      <c r="B43" s="6" t="s">
        <v>17</v>
      </c>
      <c r="C43" s="3">
        <f>SUM(C39:C42)</f>
        <v>17280993.599999994</v>
      </c>
      <c r="D43" s="3">
        <f>SUM(D39:D42)</f>
        <v>20288474.49000001</v>
      </c>
      <c r="E43" s="3">
        <f>SUM(E39:E42)</f>
        <v>-3007480.8900000155</v>
      </c>
    </row>
    <row r="44" spans="1:8" s="6" customFormat="1" x14ac:dyDescent="0.25">
      <c r="B44" s="6">
        <v>512124</v>
      </c>
      <c r="C44" s="1">
        <f>IFERROR(INDEX('Balance des comptes'!$O:$O,MATCH('2026'!B44,'Balance des comptes'!$A:$A,0)),0)</f>
        <v>8795039.7700000033</v>
      </c>
      <c r="D44" s="1">
        <f>IFERROR(INDEX('Balance des comptes'!$R:$R,MATCH('2026'!B44,'Balance des comptes'!$A:$A,0)),0)</f>
        <v>0</v>
      </c>
      <c r="E44" s="3">
        <f>+C44-D44</f>
        <v>8795039.7700000033</v>
      </c>
    </row>
    <row r="45" spans="1:8" s="6" customFormat="1" x14ac:dyDescent="0.25">
      <c r="B45" s="6" t="s">
        <v>18</v>
      </c>
      <c r="C45" s="3">
        <f>SUM(C44:C44)</f>
        <v>8795039.7700000033</v>
      </c>
      <c r="D45" s="3">
        <f>SUM(D44:D44)</f>
        <v>0</v>
      </c>
      <c r="E45" s="1">
        <f>SUM(E44:E44)</f>
        <v>8795039.7700000033</v>
      </c>
    </row>
    <row r="46" spans="1:8" s="6" customFormat="1" x14ac:dyDescent="0.25"/>
    <row r="47" spans="1:8" s="6" customFormat="1" x14ac:dyDescent="0.25">
      <c r="B47" s="6" t="s">
        <v>19</v>
      </c>
      <c r="E47" s="3">
        <f>+E43+E45+E36</f>
        <v>170070.9999999851</v>
      </c>
    </row>
    <row r="49" spans="1:7" s="6" customFormat="1" x14ac:dyDescent="0.25">
      <c r="A49" s="5" t="s">
        <v>10</v>
      </c>
      <c r="C49" s="6" t="s">
        <v>0</v>
      </c>
      <c r="D49" s="6" t="s">
        <v>1</v>
      </c>
      <c r="E49" s="6" t="s">
        <v>16</v>
      </c>
    </row>
    <row r="50" spans="1:7" s="6" customFormat="1" x14ac:dyDescent="0.25">
      <c r="B50" s="6">
        <v>467122</v>
      </c>
      <c r="C50" s="1">
        <f>IFERROR(INDEX('Balance des comptes'!$O:$O,MATCH('2026'!B50,'Balance des comptes'!$A:$A,0)),0)</f>
        <v>0</v>
      </c>
      <c r="D50" s="1">
        <f>IFERROR(INDEX('Balance des comptes'!$R:$R,MATCH('2026'!B50,'Balance des comptes'!$A:$A,0)),0)</f>
        <v>26421344.580000013</v>
      </c>
      <c r="E50" s="1">
        <f>+C50-D50</f>
        <v>-26421344.580000013</v>
      </c>
    </row>
    <row r="51" spans="1:7" s="6" customFormat="1" x14ac:dyDescent="0.25">
      <c r="B51" s="6">
        <v>460122</v>
      </c>
      <c r="C51" s="1">
        <f>IFERROR(INDEX('Balance des comptes'!$O:$O,MATCH('2026'!B51,'Balance des comptes'!$A:$A,0)),0)</f>
        <v>0</v>
      </c>
      <c r="D51" s="1">
        <f>IFERROR(INDEX('Balance des comptes'!$R:$R,MATCH('2026'!B51,'Balance des comptes'!$A:$A,0)),0)</f>
        <v>0</v>
      </c>
      <c r="E51" s="1">
        <f>+C51-D51</f>
        <v>0</v>
      </c>
    </row>
    <row r="52" spans="1:7" s="6" customFormat="1" x14ac:dyDescent="0.25">
      <c r="B52" s="6">
        <v>461122</v>
      </c>
      <c r="C52" s="1">
        <f>IFERROR(INDEX('Balance des comptes'!$O:$O,MATCH('2026'!B52,'Balance des comptes'!$A:$A,0)),0)</f>
        <v>0</v>
      </c>
      <c r="D52" s="1">
        <f>IFERROR(INDEX('Balance des comptes'!$R:$R,MATCH('2026'!B52,'Balance des comptes'!$A:$A,0)),0)</f>
        <v>0</v>
      </c>
      <c r="E52" s="1"/>
    </row>
    <row r="53" spans="1:7" s="6" customFormat="1" x14ac:dyDescent="0.25">
      <c r="B53" s="6">
        <v>462122</v>
      </c>
      <c r="C53" s="1">
        <f>IFERROR(INDEX('Balance des comptes'!$O:$O,MATCH('2026'!B53,'Balance des comptes'!$A:$A,0)),0)</f>
        <v>0</v>
      </c>
      <c r="D53" s="1">
        <f>IFERROR(INDEX('Balance des comptes'!$R:$R,MATCH('2026'!B53,'Balance des comptes'!$A:$A,0)),0)</f>
        <v>0</v>
      </c>
      <c r="E53" s="1"/>
    </row>
    <row r="54" spans="1:7" s="6" customFormat="1" x14ac:dyDescent="0.25">
      <c r="B54" s="6" t="s">
        <v>17</v>
      </c>
      <c r="C54" s="1">
        <f>SUM(C50:C53)</f>
        <v>0</v>
      </c>
      <c r="D54" s="1">
        <f>SUM(D50:D53)</f>
        <v>26421344.580000013</v>
      </c>
      <c r="E54" s="1">
        <f>SUM(E50:E53)</f>
        <v>-26421344.580000013</v>
      </c>
      <c r="F54" s="1"/>
      <c r="G54" s="3"/>
    </row>
    <row r="55" spans="1:7" s="6" customFormat="1" x14ac:dyDescent="0.25">
      <c r="B55" s="6">
        <v>512122</v>
      </c>
      <c r="C55" s="1">
        <f>IFERROR(INDEX('Balance des comptes'!$O:$O,MATCH('2026'!B55,'Balance des comptes'!$A:$A,0)),0)</f>
        <v>19291335.140000001</v>
      </c>
      <c r="D55" s="1">
        <f>IFERROR(INDEX('Balance des comptes'!$R:$R,MATCH('2026'!B55,'Balance des comptes'!$A:$A,0)),0)</f>
        <v>0</v>
      </c>
      <c r="E55" s="1">
        <f>+C55-D55</f>
        <v>19291335.140000001</v>
      </c>
    </row>
    <row r="56" spans="1:7" s="6" customFormat="1" x14ac:dyDescent="0.25">
      <c r="B56" s="6" t="s">
        <v>18</v>
      </c>
      <c r="C56" s="1">
        <f>SUM(C55:C55)</f>
        <v>19291335.140000001</v>
      </c>
      <c r="D56" s="1">
        <f>SUM(D55:D55)</f>
        <v>0</v>
      </c>
      <c r="E56" s="1">
        <f>SUM(E55:E55)-E52</f>
        <v>19291335.140000001</v>
      </c>
    </row>
    <row r="57" spans="1:7" s="6" customFormat="1" x14ac:dyDescent="0.25">
      <c r="C57" s="1"/>
      <c r="D57" s="1"/>
      <c r="E57" s="1"/>
    </row>
    <row r="58" spans="1:7" s="6" customFormat="1" x14ac:dyDescent="0.25">
      <c r="B58" s="6" t="s">
        <v>19</v>
      </c>
      <c r="C58" s="1"/>
      <c r="D58" s="1"/>
      <c r="E58" s="16">
        <f>+E54+E56</f>
        <v>-7130009.4400000125</v>
      </c>
    </row>
    <row r="60" spans="1:7" hidden="1" x14ac:dyDescent="0.25"/>
    <row r="61" spans="1:7" hidden="1" x14ac:dyDescent="0.25"/>
    <row r="62" spans="1:7" hidden="1" x14ac:dyDescent="0.25"/>
    <row r="63" spans="1:7" hidden="1" x14ac:dyDescent="0.25">
      <c r="A63" s="7" t="s">
        <v>15</v>
      </c>
      <c r="C63" t="s">
        <v>0</v>
      </c>
      <c r="D63" t="s">
        <v>1</v>
      </c>
      <c r="E63" t="s">
        <v>16</v>
      </c>
    </row>
    <row r="64" spans="1:7" hidden="1" x14ac:dyDescent="0.25">
      <c r="B64">
        <v>467124</v>
      </c>
      <c r="C64" s="2">
        <f>+IFERROR(VLOOKUP($B64,#REF!,6,0),0)</f>
        <v>0</v>
      </c>
      <c r="D64" s="2">
        <f>IFERROR(VLOOKUP($B64,#REF!,7,0),0)</f>
        <v>0</v>
      </c>
      <c r="E64" s="2">
        <f>+C64-D64</f>
        <v>0</v>
      </c>
    </row>
    <row r="65" spans="1:6" hidden="1" x14ac:dyDescent="0.25">
      <c r="B65">
        <v>460124</v>
      </c>
      <c r="C65" s="2">
        <f>+IFERROR(VLOOKUP($B65,#REF!,6,0),0)</f>
        <v>0</v>
      </c>
      <c r="D65" s="2">
        <f>IFERROR(VLOOKUP($B65,#REF!,7,0),0)</f>
        <v>0</v>
      </c>
      <c r="E65" s="2">
        <f>+C65-D65</f>
        <v>0</v>
      </c>
    </row>
    <row r="66" spans="1:6" hidden="1" x14ac:dyDescent="0.25">
      <c r="B66">
        <v>461124</v>
      </c>
      <c r="C66" s="2">
        <f>+IFERROR(VLOOKUP($B66,#REF!,6,0),0)</f>
        <v>0</v>
      </c>
      <c r="D66" s="2">
        <f>IFERROR(VLOOKUP($B66,#REF!,7,0),0)</f>
        <v>0</v>
      </c>
      <c r="E66" s="2">
        <f>+C66-D66</f>
        <v>0</v>
      </c>
    </row>
    <row r="67" spans="1:6" hidden="1" x14ac:dyDescent="0.25">
      <c r="B67">
        <v>462124</v>
      </c>
      <c r="C67" s="2">
        <f>+IFERROR(VLOOKUP($B67,#REF!,6,0),0)</f>
        <v>0</v>
      </c>
      <c r="D67" s="2">
        <f>IFERROR(VLOOKUP($B67,#REF!,7,0),0)</f>
        <v>0</v>
      </c>
      <c r="E67" s="2">
        <f>+C67-D67</f>
        <v>0</v>
      </c>
    </row>
    <row r="68" spans="1:6" hidden="1" x14ac:dyDescent="0.25">
      <c r="B68" t="s">
        <v>17</v>
      </c>
      <c r="C68" s="2">
        <f>SUM(C64:C67)</f>
        <v>0</v>
      </c>
      <c r="D68" s="2">
        <f>SUM(D64:D67)</f>
        <v>0</v>
      </c>
      <c r="E68" s="2">
        <f>SUM(E64:E67)</f>
        <v>0</v>
      </c>
    </row>
    <row r="69" spans="1:6" hidden="1" x14ac:dyDescent="0.25">
      <c r="B69">
        <v>512124</v>
      </c>
      <c r="C69" s="2">
        <f>+IFERROR(VLOOKUP($B69,#REF!,6,0),0)</f>
        <v>0</v>
      </c>
      <c r="D69" s="2">
        <f>IFERROR(VLOOKUP($B69,#REF!,7,0),0)</f>
        <v>0</v>
      </c>
      <c r="E69" s="2">
        <f>SUM(C69:D69)</f>
        <v>0</v>
      </c>
    </row>
    <row r="70" spans="1:6" hidden="1" x14ac:dyDescent="0.25">
      <c r="B70">
        <v>513124</v>
      </c>
      <c r="C70" s="2">
        <f>+IFERROR(VLOOKUP($B70,#REF!,6,0),0)</f>
        <v>0</v>
      </c>
      <c r="D70" s="2">
        <f>IFERROR(VLOOKUP($B70,#REF!,7,0),0)</f>
        <v>0</v>
      </c>
      <c r="E70" s="2">
        <f>SUM(C70:D70)</f>
        <v>0</v>
      </c>
    </row>
    <row r="71" spans="1:6" hidden="1" x14ac:dyDescent="0.25">
      <c r="B71" t="s">
        <v>18</v>
      </c>
      <c r="C71" s="2">
        <f>SUM(C69:C70)</f>
        <v>0</v>
      </c>
      <c r="D71" s="2">
        <f>SUM(D69:D70)</f>
        <v>0</v>
      </c>
      <c r="E71" s="2">
        <f>SUM(E69:E70)-E66</f>
        <v>0</v>
      </c>
    </row>
    <row r="72" spans="1:6" hidden="1" x14ac:dyDescent="0.25"/>
    <row r="73" spans="1:6" hidden="1" x14ac:dyDescent="0.25">
      <c r="B73" t="s">
        <v>19</v>
      </c>
      <c r="E73" s="4">
        <f>+E68-E71</f>
        <v>0</v>
      </c>
    </row>
    <row r="74" spans="1:6" ht="15" customHeight="1" x14ac:dyDescent="0.25"/>
    <row r="76" spans="1:6" s="6" customFormat="1" x14ac:dyDescent="0.25">
      <c r="A76" s="5" t="s">
        <v>20</v>
      </c>
      <c r="C76" s="6" t="s">
        <v>0</v>
      </c>
      <c r="D76" s="6" t="s">
        <v>1</v>
      </c>
      <c r="E76" s="6" t="s">
        <v>16</v>
      </c>
    </row>
    <row r="77" spans="1:6" s="6" customFormat="1" x14ac:dyDescent="0.25">
      <c r="B77" s="6">
        <v>467140</v>
      </c>
      <c r="C77" s="1">
        <f>IFERROR(INDEX('Balance des comptes'!$O:$O,MATCH('2026'!B77,'Balance des comptes'!$A:$A,0)),0)</f>
        <v>0</v>
      </c>
      <c r="D77" s="1">
        <f>IFERROR(INDEX('Balance des comptes'!$R:$R,MATCH('2026'!B77,'Balance des comptes'!$A:$A,0)),0)</f>
        <v>91439426.419999123</v>
      </c>
      <c r="E77" s="1">
        <f>+C77-D77</f>
        <v>-91439426.419999123</v>
      </c>
    </row>
    <row r="78" spans="1:6" s="6" customFormat="1" x14ac:dyDescent="0.25">
      <c r="B78" s="6">
        <v>460140</v>
      </c>
      <c r="C78" s="1">
        <f>IFERROR(INDEX('Balance des comptes'!$O:$O,MATCH('2026'!B78,'Balance des comptes'!$A:$A,0)),0)</f>
        <v>91062101</v>
      </c>
      <c r="D78" s="1">
        <f>IFERROR(INDEX('Balance des comptes'!$R:$R,MATCH('2026'!B78,'Balance des comptes'!$A:$A,0)),0)</f>
        <v>0</v>
      </c>
      <c r="E78" s="1">
        <f>+C78-D78</f>
        <v>91062101</v>
      </c>
    </row>
    <row r="79" spans="1:6" s="6" customFormat="1" x14ac:dyDescent="0.25">
      <c r="B79" s="6">
        <v>461140</v>
      </c>
      <c r="C79" s="1">
        <f>IFERROR(INDEX('Balance des comptes'!$O:$O,MATCH('2026'!B79,'Balance des comptes'!$A:$A,0)),0)</f>
        <v>0</v>
      </c>
      <c r="D79" s="1">
        <f>IFERROR(INDEX('Balance des comptes'!$R:$R,MATCH('2026'!B79,'Balance des comptes'!$A:$A,0)),0)</f>
        <v>0</v>
      </c>
      <c r="E79" s="1">
        <f>+C79-D79</f>
        <v>0</v>
      </c>
    </row>
    <row r="80" spans="1:6" s="6" customFormat="1" x14ac:dyDescent="0.25">
      <c r="B80" s="6">
        <v>462140</v>
      </c>
      <c r="C80" s="1">
        <f>IFERROR(INDEX('Balance des comptes'!$O:$O,MATCH('2026'!B80,'Balance des comptes'!$A:$A,0)),0)</f>
        <v>0</v>
      </c>
      <c r="D80" s="1">
        <f>IFERROR(INDEX('Balance des comptes'!$R:$R,MATCH('2026'!B80,'Balance des comptes'!$A:$A,0)),0)</f>
        <v>5788333</v>
      </c>
      <c r="E80" s="1">
        <f>+C80-D80</f>
        <v>-5788333</v>
      </c>
      <c r="F80" s="3"/>
    </row>
    <row r="81" spans="1:14" s="6" customFormat="1" x14ac:dyDescent="0.25">
      <c r="B81" s="6" t="s">
        <v>17</v>
      </c>
      <c r="C81" s="1">
        <f>SUM(C77:C80)</f>
        <v>91062101</v>
      </c>
      <c r="D81" s="1">
        <f>SUM(D77:D80)</f>
        <v>97227759.419999123</v>
      </c>
      <c r="E81" s="1">
        <f>SUM(E77:E80)</f>
        <v>-6165658.4199991226</v>
      </c>
      <c r="F81" s="3"/>
      <c r="G81" s="6" t="s">
        <v>17</v>
      </c>
      <c r="H81" s="3">
        <f>E81+E91</f>
        <v>-5760692.2999991253</v>
      </c>
      <c r="I81" s="3"/>
    </row>
    <row r="82" spans="1:14" s="6" customFormat="1" x14ac:dyDescent="0.25">
      <c r="B82" s="6">
        <v>512140</v>
      </c>
      <c r="C82" s="1">
        <f>IFERROR(INDEX('Balance des comptes'!$O:$O,MATCH('2026'!B82,'Balance des comptes'!$A:$A,0)),0)</f>
        <v>4283967.2999999523</v>
      </c>
      <c r="D82" s="1">
        <f>IFERROR(INDEX('Balance des comptes'!$R:$R,MATCH('2026'!B82,'Balance des comptes'!$A:$A,0)),0)</f>
        <v>0</v>
      </c>
      <c r="E82" s="1">
        <f>+C82-D82</f>
        <v>4283967.2999999523</v>
      </c>
      <c r="F82" s="3"/>
      <c r="G82" s="6" t="s">
        <v>18</v>
      </c>
      <c r="H82" s="3">
        <f>E84</f>
        <v>7483876.2999999523</v>
      </c>
      <c r="I82" s="14"/>
    </row>
    <row r="83" spans="1:14" s="6" customFormat="1" x14ac:dyDescent="0.25">
      <c r="B83" s="6">
        <v>513140</v>
      </c>
      <c r="C83" s="1">
        <f>IFERROR(INDEX('Balance des comptes'!$O:$O,MATCH('2026'!B83,'Balance des comptes'!$A:$A,0)),0)</f>
        <v>3199909</v>
      </c>
      <c r="D83" s="1">
        <f>IFERROR(INDEX('Balance des comptes'!$R:$R,MATCH('2026'!B83,'Balance des comptes'!$A:$A,0)),0)</f>
        <v>0</v>
      </c>
      <c r="E83" s="1">
        <f>+C83-D83</f>
        <v>3199909</v>
      </c>
      <c r="F83" s="14"/>
      <c r="G83" s="6" t="s">
        <v>19</v>
      </c>
      <c r="H83" s="12">
        <f>SUM(H81:H82)</f>
        <v>1723184.000000827</v>
      </c>
      <c r="I83" s="14"/>
    </row>
    <row r="84" spans="1:14" s="6" customFormat="1" x14ac:dyDescent="0.25">
      <c r="B84" s="6" t="s">
        <v>18</v>
      </c>
      <c r="C84" s="1">
        <f>SUM(C82:C83)</f>
        <v>7483876.2999999523</v>
      </c>
      <c r="D84" s="1">
        <f>SUM(D82:D83)</f>
        <v>0</v>
      </c>
      <c r="E84" s="1">
        <f>SUM(E82:E83)</f>
        <v>7483876.2999999523</v>
      </c>
      <c r="F84" s="14"/>
      <c r="G84" s="14"/>
      <c r="H84" s="14"/>
      <c r="I84" s="14"/>
      <c r="J84" s="3"/>
      <c r="K84" s="3"/>
      <c r="L84" s="3"/>
      <c r="N84" s="3"/>
    </row>
    <row r="85" spans="1:14" s="6" customFormat="1" x14ac:dyDescent="0.25">
      <c r="G85" s="3"/>
      <c r="H85" s="3"/>
    </row>
    <row r="86" spans="1:14" s="6" customFormat="1" x14ac:dyDescent="0.25">
      <c r="A86" s="5" t="s">
        <v>225</v>
      </c>
      <c r="C86" s="6" t="s">
        <v>0</v>
      </c>
      <c r="D86" s="6" t="s">
        <v>1</v>
      </c>
      <c r="E86" s="6" t="s">
        <v>16</v>
      </c>
    </row>
    <row r="87" spans="1:14" s="6" customFormat="1" x14ac:dyDescent="0.25">
      <c r="B87" s="6">
        <v>467142</v>
      </c>
      <c r="C87" s="1">
        <f>IFERROR(INDEX('Balance des comptes'!$O:$O,MATCH('2026'!B87,'Balance des comptes'!$A:$A,0)),0)</f>
        <v>404966.11999999732</v>
      </c>
      <c r="D87" s="1">
        <f>IFERROR(INDEX('Balance des comptes'!$R:$R,MATCH('2026'!B87,'Balance des comptes'!$A:$A,0)),0)</f>
        <v>0</v>
      </c>
      <c r="E87" s="1">
        <f>+C87-D87</f>
        <v>404966.11999999732</v>
      </c>
    </row>
    <row r="88" spans="1:14" s="6" customFormat="1" x14ac:dyDescent="0.25">
      <c r="B88" s="6">
        <v>460142</v>
      </c>
      <c r="C88" s="1">
        <f>IFERROR(INDEX('Balance des comptes'!$O:$O,MATCH('2026'!B88,'Balance des comptes'!$A:$A,0)),0)</f>
        <v>0</v>
      </c>
      <c r="D88" s="1">
        <f>IFERROR(INDEX('Balance des comptes'!$R:$R,MATCH('2026'!B88,'Balance des comptes'!$A:$A,0)),0)</f>
        <v>0</v>
      </c>
      <c r="E88" s="1">
        <f>+C88-D88</f>
        <v>0</v>
      </c>
    </row>
    <row r="89" spans="1:14" s="6" customFormat="1" x14ac:dyDescent="0.25">
      <c r="B89" s="6">
        <v>461142</v>
      </c>
      <c r="C89" s="1">
        <f>IFERROR(INDEX('Balance des comptes'!$O:$O,MATCH('2026'!B89,'Balance des comptes'!$A:$A,0)),0)</f>
        <v>0</v>
      </c>
      <c r="D89" s="1">
        <f>IFERROR(INDEX('Balance des comptes'!$R:$R,MATCH('2026'!B89,'Balance des comptes'!$A:$A,0)),0)</f>
        <v>0</v>
      </c>
      <c r="E89" s="1">
        <f>+C89-D89</f>
        <v>0</v>
      </c>
    </row>
    <row r="90" spans="1:14" s="6" customFormat="1" x14ac:dyDescent="0.25">
      <c r="B90" s="6">
        <v>462142</v>
      </c>
      <c r="C90" s="1">
        <f>IFERROR(INDEX('Balance des comptes'!$O:$O,MATCH('2026'!B90,'Balance des comptes'!$A:$A,0)),0)</f>
        <v>0</v>
      </c>
      <c r="D90" s="1">
        <f>IFERROR(INDEX('Balance des comptes'!$R:$R,MATCH('2026'!B90,'Balance des comptes'!$A:$A,0)),0)</f>
        <v>0</v>
      </c>
      <c r="E90" s="1">
        <f>+C90-D90</f>
        <v>0</v>
      </c>
      <c r="F90" s="3"/>
    </row>
    <row r="91" spans="1:14" s="6" customFormat="1" x14ac:dyDescent="0.25">
      <c r="B91" s="6" t="s">
        <v>17</v>
      </c>
      <c r="C91" s="1">
        <f>SUM(C87:C90)</f>
        <v>404966.11999999732</v>
      </c>
      <c r="D91" s="1">
        <f>SUM(D87:D90)</f>
        <v>0</v>
      </c>
      <c r="E91" s="1">
        <f>SUM(E87:E90)</f>
        <v>404966.11999999732</v>
      </c>
      <c r="F91" s="3"/>
      <c r="I91" s="3"/>
    </row>
    <row r="95" spans="1:14" s="6" customFormat="1" x14ac:dyDescent="0.25">
      <c r="A95" s="5" t="s">
        <v>21</v>
      </c>
      <c r="C95" s="6" t="s">
        <v>0</v>
      </c>
      <c r="D95" s="6" t="s">
        <v>1</v>
      </c>
      <c r="E95" s="6" t="s">
        <v>16</v>
      </c>
    </row>
    <row r="96" spans="1:14" s="6" customFormat="1" x14ac:dyDescent="0.25">
      <c r="B96" s="6">
        <v>467145</v>
      </c>
      <c r="C96" s="1">
        <f>IFERROR(INDEX('Balance des comptes'!$O:$O,MATCH('2026'!B96,'Balance des comptes'!$A:$A,0)),0)</f>
        <v>0</v>
      </c>
      <c r="D96" s="1">
        <f>IFERROR(INDEX('Balance des comptes'!$R:$R,MATCH('2026'!B96,'Balance des comptes'!$A:$A,0)),0)</f>
        <v>20259992.279999971</v>
      </c>
      <c r="E96" s="1">
        <f>+C96-D96</f>
        <v>-20259992.279999971</v>
      </c>
      <c r="H96" s="3"/>
    </row>
    <row r="97" spans="1:8" s="6" customFormat="1" x14ac:dyDescent="0.25">
      <c r="B97" s="6">
        <v>460145</v>
      </c>
      <c r="C97" s="1">
        <f>IFERROR(INDEX('Balance des comptes'!$O:$O,MATCH('2026'!B97,'Balance des comptes'!$A:$A,0)),0)</f>
        <v>12479060</v>
      </c>
      <c r="D97" s="1">
        <f>IFERROR(INDEX('Balance des comptes'!$R:$R,MATCH('2026'!B97,'Balance des comptes'!$A:$A,0)),0)</f>
        <v>0</v>
      </c>
      <c r="E97" s="1">
        <f>+C97-D97</f>
        <v>12479060</v>
      </c>
      <c r="H97" s="3"/>
    </row>
    <row r="98" spans="1:8" s="6" customFormat="1" x14ac:dyDescent="0.25">
      <c r="B98" s="6">
        <v>461145</v>
      </c>
      <c r="C98" s="1">
        <f>IFERROR(INDEX('Balance des comptes'!$O:$O,MATCH('2026'!B98,'Balance des comptes'!$A:$A,0)),0)</f>
        <v>0</v>
      </c>
      <c r="D98" s="1">
        <f>IFERROR(INDEX('Balance des comptes'!$R:$R,MATCH('2026'!B98,'Balance des comptes'!$A:$A,0)),0)</f>
        <v>0</v>
      </c>
      <c r="E98" s="1">
        <f>+C98-D98</f>
        <v>0</v>
      </c>
      <c r="H98" s="3"/>
    </row>
    <row r="99" spans="1:8" s="6" customFormat="1" x14ac:dyDescent="0.25">
      <c r="B99" s="6">
        <v>462145</v>
      </c>
      <c r="C99" s="1">
        <f>IFERROR(INDEX('Balance des comptes'!$O:$O,MATCH('2026'!B99,'Balance des comptes'!$A:$A,0)),0)</f>
        <v>0</v>
      </c>
      <c r="D99" s="1">
        <f>IFERROR(INDEX('Balance des comptes'!$R:$R,MATCH('2026'!B99,'Balance des comptes'!$A:$A,0)),0)</f>
        <v>23797</v>
      </c>
      <c r="E99" s="1">
        <f>+C99-D99</f>
        <v>-23797</v>
      </c>
    </row>
    <row r="100" spans="1:8" s="6" customFormat="1" x14ac:dyDescent="0.25">
      <c r="B100" s="6" t="s">
        <v>17</v>
      </c>
      <c r="C100" s="1">
        <f>SUM(C96:C99)</f>
        <v>12479060</v>
      </c>
      <c r="D100" s="1">
        <f>SUM(D96:D99)</f>
        <v>20283789.279999971</v>
      </c>
      <c r="E100" s="1">
        <f>SUM(E96:E99)</f>
        <v>-7804729.2799999714</v>
      </c>
      <c r="F100" s="1"/>
      <c r="G100" s="3"/>
      <c r="H100" s="1"/>
    </row>
    <row r="101" spans="1:8" s="6" customFormat="1" x14ac:dyDescent="0.25">
      <c r="B101" s="6">
        <v>512145</v>
      </c>
      <c r="C101" s="1">
        <f>IFERROR(INDEX('Balance des comptes'!$O:$O,MATCH('2026'!B101,'Balance des comptes'!$A:$A,0)),0)</f>
        <v>20017621.720000029</v>
      </c>
      <c r="D101" s="1">
        <f>IFERROR(INDEX('Balance des comptes'!$R:$R,MATCH('2026'!B101,'Balance des comptes'!$A:$A,0)),0)</f>
        <v>0</v>
      </c>
      <c r="E101" s="1">
        <f>+C101-D101</f>
        <v>20017621.720000029</v>
      </c>
      <c r="F101" s="3"/>
      <c r="H101" s="3"/>
    </row>
    <row r="102" spans="1:8" s="6" customFormat="1" x14ac:dyDescent="0.25">
      <c r="B102" s="6" t="s">
        <v>18</v>
      </c>
      <c r="C102" s="1">
        <f>SUM(C101:C101)</f>
        <v>20017621.720000029</v>
      </c>
      <c r="D102" s="1">
        <f>SUM(D101:D101)</f>
        <v>0</v>
      </c>
      <c r="E102" s="1">
        <f>SUM(E101:E101)</f>
        <v>20017621.720000029</v>
      </c>
      <c r="F102" s="1"/>
      <c r="H102" s="1"/>
    </row>
    <row r="103" spans="1:8" s="6" customFormat="1" x14ac:dyDescent="0.25">
      <c r="E103" s="3"/>
      <c r="H103" s="3"/>
    </row>
    <row r="104" spans="1:8" s="6" customFormat="1" x14ac:dyDescent="0.25">
      <c r="B104" s="6" t="s">
        <v>19</v>
      </c>
      <c r="E104" s="12">
        <f>+E100+E102</f>
        <v>12212892.440000057</v>
      </c>
      <c r="F104" s="9"/>
      <c r="G104" s="3"/>
    </row>
    <row r="105" spans="1:8" x14ac:dyDescent="0.25">
      <c r="E105" s="4"/>
    </row>
    <row r="110" spans="1:8" s="6" customFormat="1" x14ac:dyDescent="0.25">
      <c r="A110" s="5" t="s">
        <v>2</v>
      </c>
      <c r="C110" s="6" t="s">
        <v>0</v>
      </c>
      <c r="D110" s="6" t="s">
        <v>1</v>
      </c>
      <c r="E110" s="6" t="s">
        <v>16</v>
      </c>
    </row>
    <row r="111" spans="1:8" s="6" customFormat="1" x14ac:dyDescent="0.25">
      <c r="A111" s="11"/>
      <c r="B111" s="6">
        <v>467150</v>
      </c>
      <c r="C111" s="1">
        <f>IFERROR(INDEX('Balance des comptes'!$O:$O,MATCH('2026'!B111,'Balance des comptes'!$A:$A,0)),0)</f>
        <v>0</v>
      </c>
      <c r="D111" s="1">
        <f>IFERROR(INDEX('Balance des comptes'!$R:$R,MATCH('2026'!B111,'Balance des comptes'!$A:$A,0)),0)</f>
        <v>11986974.379999995</v>
      </c>
      <c r="E111" s="1">
        <f>+C111-D111</f>
        <v>-11986974.379999995</v>
      </c>
      <c r="F111" s="1"/>
      <c r="G111" s="1"/>
    </row>
    <row r="112" spans="1:8" s="6" customFormat="1" x14ac:dyDescent="0.25">
      <c r="B112" s="6">
        <v>460150</v>
      </c>
      <c r="C112" s="1">
        <f>IFERROR(INDEX('Balance des comptes'!$O:$O,MATCH('2026'!B112,'Balance des comptes'!$A:$A,0)),0)</f>
        <v>12307074.379999995</v>
      </c>
      <c r="D112" s="1">
        <f>IFERROR(INDEX('Balance des comptes'!$R:$R,MATCH('2026'!B112,'Balance des comptes'!$A:$A,0)),0)</f>
        <v>0</v>
      </c>
      <c r="E112" s="1">
        <f t="shared" ref="E112:E114" si="2">+C112-D112</f>
        <v>12307074.379999995</v>
      </c>
      <c r="G112" s="1"/>
    </row>
    <row r="113" spans="1:10" s="6" customFormat="1" x14ac:dyDescent="0.25">
      <c r="B113" s="6">
        <v>461150</v>
      </c>
      <c r="C113" s="1">
        <f>IFERROR(INDEX('Balance des comptes'!$O:$O,MATCH('2026'!B113,'Balance des comptes'!$A:$A,0)),0)</f>
        <v>0</v>
      </c>
      <c r="D113" s="1">
        <f>IFERROR(INDEX('Balance des comptes'!$R:$R,MATCH('2026'!B113,'Balance des comptes'!$A:$A,0)),0)</f>
        <v>0</v>
      </c>
      <c r="E113" s="1">
        <f t="shared" si="2"/>
        <v>0</v>
      </c>
      <c r="G113" s="1"/>
    </row>
    <row r="114" spans="1:10" s="6" customFormat="1" x14ac:dyDescent="0.25">
      <c r="B114" s="6">
        <v>462150</v>
      </c>
      <c r="C114" s="1">
        <f>IFERROR(INDEX('Balance des comptes'!$O:$O,MATCH('2026'!B114,'Balance des comptes'!$A:$A,0)),0)</f>
        <v>0</v>
      </c>
      <c r="D114" s="1">
        <f>IFERROR(INDEX('Balance des comptes'!$R:$R,MATCH('2026'!B114,'Balance des comptes'!$A:$A,0)),0)</f>
        <v>320100</v>
      </c>
      <c r="E114" s="1">
        <f t="shared" si="2"/>
        <v>-320100</v>
      </c>
      <c r="F114" s="8"/>
      <c r="G114" s="1"/>
    </row>
    <row r="115" spans="1:10" s="6" customFormat="1" x14ac:dyDescent="0.25">
      <c r="B115" s="6" t="s">
        <v>17</v>
      </c>
      <c r="C115" s="1">
        <f>SUM(C111:C114)</f>
        <v>12307074.379999995</v>
      </c>
      <c r="D115" s="1">
        <f>SUM(D111:D114)</f>
        <v>12307074.379999995</v>
      </c>
      <c r="E115" s="1">
        <f>SUM(E111:E114)</f>
        <v>0</v>
      </c>
      <c r="F115" s="1"/>
      <c r="G115" s="1"/>
    </row>
    <row r="116" spans="1:10" s="6" customFormat="1" x14ac:dyDescent="0.25">
      <c r="B116" s="6">
        <v>512150</v>
      </c>
      <c r="C116" s="1">
        <f>IFERROR(INDEX('Balance des comptes'!$O:$O,MATCH('2026'!B116,'Balance des comptes'!$A:$A,0)),0)</f>
        <v>219216.48999999464</v>
      </c>
      <c r="D116" s="1">
        <f>IFERROR(INDEX('Balance des comptes'!$R:$R,MATCH('2026'!B116,'Balance des comptes'!$A:$A,0)),0)</f>
        <v>0</v>
      </c>
      <c r="E116" s="1">
        <f>+C116-D116</f>
        <v>219216.48999999464</v>
      </c>
      <c r="G116" s="1"/>
    </row>
    <row r="117" spans="1:10" s="6" customFormat="1" x14ac:dyDescent="0.25">
      <c r="B117" s="6" t="s">
        <v>18</v>
      </c>
      <c r="C117" s="1">
        <f>SUM(C116:C116)</f>
        <v>219216.48999999464</v>
      </c>
      <c r="D117" s="1">
        <f>SUM(D116:D116)</f>
        <v>0</v>
      </c>
      <c r="E117" s="1">
        <f>SUM(E116:E116)</f>
        <v>219216.48999999464</v>
      </c>
      <c r="F117" s="10"/>
      <c r="H117" s="1"/>
    </row>
    <row r="118" spans="1:10" s="6" customFormat="1" x14ac:dyDescent="0.25">
      <c r="G118" s="1"/>
    </row>
    <row r="119" spans="1:10" s="6" customFormat="1" ht="18" customHeight="1" x14ac:dyDescent="0.25">
      <c r="B119" s="6" t="s">
        <v>19</v>
      </c>
      <c r="E119" s="12">
        <f>+E115+E117</f>
        <v>219216.48999999464</v>
      </c>
      <c r="G119" s="1"/>
      <c r="H119" s="1"/>
      <c r="I119" s="3"/>
    </row>
    <row r="120" spans="1:10" x14ac:dyDescent="0.25">
      <c r="E120" s="4"/>
      <c r="F120" s="2"/>
      <c r="G120" s="4"/>
      <c r="I120" s="4"/>
      <c r="J120" s="2"/>
    </row>
    <row r="121" spans="1:10" s="6" customFormat="1" x14ac:dyDescent="0.25">
      <c r="A121" s="5" t="s">
        <v>8</v>
      </c>
      <c r="C121" s="6" t="s">
        <v>0</v>
      </c>
      <c r="D121" s="6" t="s">
        <v>1</v>
      </c>
      <c r="E121" s="6" t="s">
        <v>16</v>
      </c>
    </row>
    <row r="122" spans="1:10" s="6" customFormat="1" x14ac:dyDescent="0.25">
      <c r="B122" s="6">
        <v>467180</v>
      </c>
      <c r="C122" s="1">
        <f>IFERROR(INDEX('Balance des comptes'!$O:$O,MATCH('2026'!B122,'Balance des comptes'!$A:$A,0)),0)</f>
        <v>0</v>
      </c>
      <c r="D122" s="1">
        <f>IFERROR(INDEX('Balance des comptes'!$R:$R,MATCH('2026'!B122,'Balance des comptes'!$A:$A,0)),0)</f>
        <v>22048639.25999999</v>
      </c>
      <c r="E122" s="1">
        <f>+C122-D122</f>
        <v>-22048639.25999999</v>
      </c>
    </row>
    <row r="123" spans="1:10" s="6" customFormat="1" x14ac:dyDescent="0.25">
      <c r="B123" s="6">
        <v>460180</v>
      </c>
      <c r="C123" s="1">
        <f>IFERROR(INDEX('Balance des comptes'!$O:$O,MATCH('2026'!B123,'Balance des comptes'!$A:$A,0)),0)</f>
        <v>0</v>
      </c>
      <c r="D123" s="1">
        <f>IFERROR(INDEX('Balance des comptes'!$R:$R,MATCH('2026'!B123,'Balance des comptes'!$A:$A,0)),0)</f>
        <v>0</v>
      </c>
      <c r="E123" s="1">
        <f>+C123-D123</f>
        <v>0</v>
      </c>
      <c r="G123" s="1"/>
    </row>
    <row r="124" spans="1:10" s="6" customFormat="1" x14ac:dyDescent="0.25">
      <c r="B124" s="6">
        <v>461180</v>
      </c>
      <c r="C124" s="1">
        <f>IFERROR(INDEX('Balance des comptes'!$O:$O,MATCH('2026'!B124,'Balance des comptes'!$A:$A,0)),0)</f>
        <v>0</v>
      </c>
      <c r="D124" s="1">
        <f>IFERROR(INDEX('Balance des comptes'!$R:$R,MATCH('2026'!B124,'Balance des comptes'!$A:$A,0)),0)</f>
        <v>0</v>
      </c>
      <c r="E124" s="1">
        <f>+C124-D124</f>
        <v>0</v>
      </c>
      <c r="G124" s="1"/>
    </row>
    <row r="125" spans="1:10" s="6" customFormat="1" x14ac:dyDescent="0.25">
      <c r="B125" s="6">
        <v>462180</v>
      </c>
      <c r="C125" s="1">
        <f>IFERROR(INDEX('Balance des comptes'!$O:$O,MATCH('2026'!B125,'Balance des comptes'!$A:$A,0)),0)</f>
        <v>0</v>
      </c>
      <c r="D125" s="1">
        <f>IFERROR(INDEX('Balance des comptes'!$R:$R,MATCH('2026'!B125,'Balance des comptes'!$A:$A,0)),0)</f>
        <v>1866240</v>
      </c>
      <c r="E125" s="1">
        <f>+C125-D125</f>
        <v>-1866240</v>
      </c>
      <c r="G125" s="1"/>
    </row>
    <row r="126" spans="1:10" s="6" customFormat="1" x14ac:dyDescent="0.25">
      <c r="B126" s="6" t="s">
        <v>17</v>
      </c>
      <c r="C126" s="1">
        <f>SUM(C121:C125)</f>
        <v>0</v>
      </c>
      <c r="D126" s="1">
        <f>SUM(D122:D125)</f>
        <v>23914879.25999999</v>
      </c>
      <c r="E126" s="1">
        <f>SUM(E122:E125)</f>
        <v>-23914879.25999999</v>
      </c>
      <c r="F126" s="1"/>
      <c r="G126" s="1"/>
    </row>
    <row r="127" spans="1:10" s="6" customFormat="1" x14ac:dyDescent="0.25">
      <c r="B127" s="6">
        <v>512180</v>
      </c>
      <c r="C127" s="1">
        <f>IFERROR(INDEX('Balance des comptes'!$O:$O,MATCH('2026'!B127,'Balance des comptes'!$A:$A,0)),0)</f>
        <v>24087679.26000002</v>
      </c>
      <c r="D127" s="1">
        <f>IFERROR(INDEX('Balance des comptes'!$R:$R,MATCH('2026'!B127,'Balance des comptes'!$A:$A,0)),0)</f>
        <v>0</v>
      </c>
      <c r="E127" s="1">
        <f>+C127-D127</f>
        <v>24087679.26000002</v>
      </c>
      <c r="F127" s="3"/>
    </row>
    <row r="128" spans="1:10" s="6" customFormat="1" x14ac:dyDescent="0.25">
      <c r="B128" s="6" t="s">
        <v>18</v>
      </c>
      <c r="C128" s="1">
        <f>SUM(C127:C127)</f>
        <v>24087679.26000002</v>
      </c>
      <c r="D128" s="1">
        <f>SUM(D127:D127)</f>
        <v>0</v>
      </c>
      <c r="E128" s="1">
        <f>SUM(E127:E127)</f>
        <v>24087679.26000002</v>
      </c>
      <c r="F128" s="1"/>
    </row>
    <row r="129" spans="1:12" s="6" customFormat="1" x14ac:dyDescent="0.25">
      <c r="F129" s="1"/>
    </row>
    <row r="130" spans="1:12" s="6" customFormat="1" ht="15" customHeight="1" x14ac:dyDescent="0.25">
      <c r="B130" s="6" t="s">
        <v>19</v>
      </c>
      <c r="E130" s="15">
        <f>+E126+E128</f>
        <v>172800.0000000298</v>
      </c>
    </row>
    <row r="131" spans="1:12" x14ac:dyDescent="0.25">
      <c r="F131" s="4"/>
    </row>
    <row r="132" spans="1:12" s="6" customFormat="1" x14ac:dyDescent="0.25">
      <c r="A132" s="5" t="s">
        <v>24</v>
      </c>
      <c r="C132" s="6" t="s">
        <v>0</v>
      </c>
      <c r="D132" s="6" t="s">
        <v>1</v>
      </c>
      <c r="E132" s="6" t="s">
        <v>16</v>
      </c>
    </row>
    <row r="133" spans="1:12" s="6" customFormat="1" x14ac:dyDescent="0.25">
      <c r="B133" s="6">
        <v>467400</v>
      </c>
      <c r="C133" s="1">
        <f>IFERROR(INDEX('Balance des comptes'!$O:$O,MATCH('2026'!B133,'Balance des comptes'!$A:$A,0)),0)</f>
        <v>0</v>
      </c>
      <c r="D133" s="1">
        <f>IFERROR(INDEX('Balance des comptes'!$R:$R,MATCH('2026'!B133,'Balance des comptes'!$A:$A,0)),0)</f>
        <v>42120983.610000014</v>
      </c>
      <c r="E133" s="1">
        <f>+C133-D133</f>
        <v>-42120983.610000014</v>
      </c>
    </row>
    <row r="134" spans="1:12" s="6" customFormat="1" x14ac:dyDescent="0.25">
      <c r="B134" s="6">
        <v>460400</v>
      </c>
      <c r="C134" s="1">
        <f>IFERROR(INDEX('Balance des comptes'!$O:$O,MATCH('2026'!B134,'Balance des comptes'!$A:$A,0)),0)</f>
        <v>0</v>
      </c>
      <c r="D134" s="1">
        <f>IFERROR(INDEX('Balance des comptes'!$R:$R,MATCH('2026'!B134,'Balance des comptes'!$A:$A,0)),0)</f>
        <v>0</v>
      </c>
      <c r="E134" s="1">
        <f>+C134-D134</f>
        <v>0</v>
      </c>
    </row>
    <row r="135" spans="1:12" s="6" customFormat="1" x14ac:dyDescent="0.25">
      <c r="B135" s="6">
        <v>461400</v>
      </c>
      <c r="C135" s="1">
        <f>IFERROR(INDEX('Balance des comptes'!$O:$O,MATCH('2026'!B135,'Balance des comptes'!$A:$A,0)),0)</f>
        <v>0</v>
      </c>
      <c r="D135" s="1">
        <f>IFERROR(INDEX('Balance des comptes'!$R:$R,MATCH('2026'!B135,'Balance des comptes'!$A:$A,0)),0)</f>
        <v>0</v>
      </c>
      <c r="E135" s="1">
        <f>+C135-D135</f>
        <v>0</v>
      </c>
    </row>
    <row r="136" spans="1:12" s="6" customFormat="1" x14ac:dyDescent="0.25">
      <c r="B136" s="6">
        <v>462400</v>
      </c>
      <c r="C136" s="1">
        <f>IFERROR(INDEX('Balance des comptes'!$O:$O,MATCH('2026'!B136,'Balance des comptes'!$A:$A,0)),0)</f>
        <v>0</v>
      </c>
      <c r="D136" s="1">
        <f>IFERROR(INDEX('Balance des comptes'!$R:$R,MATCH('2026'!B136,'Balance des comptes'!$A:$A,0)),0)</f>
        <v>134000</v>
      </c>
      <c r="E136" s="1">
        <f>+C136-D136</f>
        <v>-134000</v>
      </c>
      <c r="F136" s="1"/>
      <c r="H136" s="1"/>
    </row>
    <row r="137" spans="1:12" s="6" customFormat="1" x14ac:dyDescent="0.25">
      <c r="B137" s="6" t="s">
        <v>17</v>
      </c>
      <c r="C137" s="1">
        <f>SUM(C133:C136)</f>
        <v>0</v>
      </c>
      <c r="D137" s="1">
        <f>SUM(D133:D136)</f>
        <v>42254983.610000014</v>
      </c>
      <c r="E137" s="1">
        <f>SUM(E133:E136)</f>
        <v>-42254983.610000014</v>
      </c>
      <c r="F137" s="1"/>
      <c r="G137" s="3"/>
    </row>
    <row r="138" spans="1:12" s="6" customFormat="1" x14ac:dyDescent="0.25">
      <c r="B138" s="6">
        <v>512400</v>
      </c>
      <c r="C138" s="1">
        <f>IFERROR(INDEX('Balance des comptes'!$O:$O,MATCH('2026'!B138,'Balance des comptes'!$A:$A,0)),0)</f>
        <v>40689363.339999974</v>
      </c>
      <c r="D138" s="1">
        <f>IFERROR(INDEX('Balance des comptes'!$R:$R,MATCH('2026'!B138,'Balance des comptes'!$A:$A,0)),0)</f>
        <v>0</v>
      </c>
      <c r="E138" s="1">
        <f>+C138-D138</f>
        <v>40689363.339999974</v>
      </c>
    </row>
    <row r="139" spans="1:12" s="6" customFormat="1" x14ac:dyDescent="0.25">
      <c r="B139" s="6" t="s">
        <v>18</v>
      </c>
      <c r="C139" s="1">
        <f>SUM(C138:C138)</f>
        <v>40689363.339999974</v>
      </c>
      <c r="D139" s="1">
        <f>SUM(D138:D138)</f>
        <v>0</v>
      </c>
      <c r="E139" s="1">
        <f>SUM(E138:E138)</f>
        <v>40689363.339999974</v>
      </c>
      <c r="F139" s="3"/>
      <c r="H139" s="1"/>
    </row>
    <row r="140" spans="1:12" s="6" customFormat="1" x14ac:dyDescent="0.25">
      <c r="F140" s="3"/>
      <c r="H140" s="1"/>
    </row>
    <row r="141" spans="1:12" s="6" customFormat="1" ht="15" customHeight="1" x14ac:dyDescent="0.25">
      <c r="B141" s="6" t="s">
        <v>19</v>
      </c>
      <c r="E141" s="12">
        <f>+E137+E139</f>
        <v>-1565620.2700000405</v>
      </c>
    </row>
    <row r="142" spans="1:12" x14ac:dyDescent="0.25">
      <c r="I142" s="21"/>
      <c r="L142" s="21"/>
    </row>
    <row r="143" spans="1:12" s="6" customFormat="1" x14ac:dyDescent="0.25">
      <c r="A143" s="5" t="s">
        <v>22</v>
      </c>
      <c r="C143" s="6" t="s">
        <v>0</v>
      </c>
      <c r="D143" s="6" t="s">
        <v>1</v>
      </c>
      <c r="E143" s="6" t="s">
        <v>16</v>
      </c>
    </row>
    <row r="144" spans="1:12" s="6" customFormat="1" x14ac:dyDescent="0.25">
      <c r="B144" s="6">
        <v>467190</v>
      </c>
      <c r="C144" s="1">
        <f>IFERROR(INDEX('Balance des comptes'!$O:$O,MATCH('2026'!B144,'Balance des comptes'!$A:$A,0)),0)</f>
        <v>0</v>
      </c>
      <c r="D144" s="1">
        <f>IFERROR(INDEX('Balance des comptes'!$R:$R,MATCH('2026'!B144,'Balance des comptes'!$A:$A,0)),0)</f>
        <v>9192940</v>
      </c>
      <c r="E144" s="1">
        <f>+C144-D144</f>
        <v>-9192940</v>
      </c>
    </row>
    <row r="145" spans="1:13" s="6" customFormat="1" x14ac:dyDescent="0.25">
      <c r="B145" s="6">
        <v>460190</v>
      </c>
      <c r="C145" s="1">
        <f>IFERROR(INDEX('Balance des comptes'!$O:$O,MATCH('2026'!B145,'Balance des comptes'!$A:$A,0)),0)</f>
        <v>0</v>
      </c>
      <c r="D145" s="1">
        <f>IFERROR(INDEX('Balance des comptes'!$R:$R,MATCH('2026'!B145,'Balance des comptes'!$A:$A,0)),0)</f>
        <v>0</v>
      </c>
      <c r="E145" s="1">
        <f>+C145-D145</f>
        <v>0</v>
      </c>
      <c r="H145" s="1"/>
    </row>
    <row r="146" spans="1:13" s="6" customFormat="1" x14ac:dyDescent="0.25">
      <c r="B146" s="6">
        <v>461190</v>
      </c>
      <c r="C146" s="1">
        <f>IFERROR(INDEX('Balance des comptes'!$O:$O,MATCH('2026'!B146,'Balance des comptes'!$A:$A,0)),0)</f>
        <v>0</v>
      </c>
      <c r="D146" s="1">
        <f>IFERROR(INDEX('Balance des comptes'!$R:$R,MATCH('2026'!B146,'Balance des comptes'!$A:$A,0)),0)</f>
        <v>0</v>
      </c>
      <c r="E146" s="1">
        <f>+C146-D146</f>
        <v>0</v>
      </c>
    </row>
    <row r="147" spans="1:13" s="6" customFormat="1" x14ac:dyDescent="0.25">
      <c r="B147" s="6">
        <v>462190</v>
      </c>
      <c r="C147" s="1">
        <f>IFERROR(INDEX('Balance des comptes'!$O:$O,MATCH('2026'!B147,'Balance des comptes'!$A:$A,0)),0)</f>
        <v>0</v>
      </c>
      <c r="D147" s="1">
        <f>IFERROR(INDEX('Balance des comptes'!$R:$R,MATCH('2026'!B147,'Balance des comptes'!$A:$A,0)),0)</f>
        <v>374880</v>
      </c>
      <c r="E147" s="1">
        <f>+C147-D147</f>
        <v>-374880</v>
      </c>
      <c r="G147" s="3"/>
      <c r="H147" s="1"/>
    </row>
    <row r="148" spans="1:13" s="6" customFormat="1" x14ac:dyDescent="0.25">
      <c r="B148" s="6" t="s">
        <v>17</v>
      </c>
      <c r="C148" s="1">
        <f>SUM(C144:C147)</f>
        <v>0</v>
      </c>
      <c r="D148" s="1">
        <f>SUM(D144:D147)</f>
        <v>9567820</v>
      </c>
      <c r="E148" s="1">
        <f>SUM(E144:E147)</f>
        <v>-9567820</v>
      </c>
      <c r="G148" s="3"/>
      <c r="H148" s="1"/>
    </row>
    <row r="149" spans="1:13" s="6" customFormat="1" x14ac:dyDescent="0.25">
      <c r="B149" s="6">
        <v>512190</v>
      </c>
      <c r="C149" s="1">
        <f>IFERROR(INDEX('Balance des comptes'!$O:$O,MATCH('2026'!B149,'Balance des comptes'!$A:$A,0)),0)</f>
        <v>50583930.039999962</v>
      </c>
      <c r="D149" s="1">
        <f>IFERROR(INDEX('Balance des comptes'!$R:$R,MATCH('2026'!B149,'Balance des comptes'!$A:$A,0)),0)</f>
        <v>0</v>
      </c>
      <c r="E149" s="1">
        <f>C149-D149</f>
        <v>50583930.039999962</v>
      </c>
      <c r="H149" s="3"/>
    </row>
    <row r="150" spans="1:13" s="6" customFormat="1" x14ac:dyDescent="0.25">
      <c r="B150" s="6" t="s">
        <v>18</v>
      </c>
      <c r="C150" s="1">
        <f>SUM(C149:C149)</f>
        <v>50583930.039999962</v>
      </c>
      <c r="D150" s="1">
        <f>SUM(D149:D149)</f>
        <v>0</v>
      </c>
      <c r="E150" s="1">
        <f>SUM(E149:E149)</f>
        <v>50583930.039999962</v>
      </c>
    </row>
    <row r="151" spans="1:13" s="6" customFormat="1" x14ac:dyDescent="0.25">
      <c r="F151" s="3"/>
    </row>
    <row r="152" spans="1:13" s="6" customFormat="1" x14ac:dyDescent="0.25">
      <c r="B152" s="6" t="s">
        <v>19</v>
      </c>
      <c r="E152" s="3">
        <f>+E148+E150</f>
        <v>41016110.039999962</v>
      </c>
      <c r="F152" s="6" t="s">
        <v>17</v>
      </c>
      <c r="G152" s="3">
        <f>+E148+E159</f>
        <v>-51292970.039999962</v>
      </c>
    </row>
    <row r="153" spans="1:13" s="6" customFormat="1" x14ac:dyDescent="0.25">
      <c r="F153" s="6" t="s">
        <v>18</v>
      </c>
      <c r="G153" s="3">
        <f>+E150</f>
        <v>50583930.039999962</v>
      </c>
    </row>
    <row r="154" spans="1:13" s="6" customFormat="1" x14ac:dyDescent="0.25">
      <c r="A154" s="5" t="s">
        <v>29</v>
      </c>
      <c r="C154" s="6" t="s">
        <v>0</v>
      </c>
      <c r="D154" s="6" t="s">
        <v>1</v>
      </c>
      <c r="E154" s="6" t="s">
        <v>16</v>
      </c>
      <c r="F154" s="6" t="s">
        <v>19</v>
      </c>
      <c r="G154" s="12">
        <f>SUM(G152:G153)</f>
        <v>-709040</v>
      </c>
    </row>
    <row r="155" spans="1:13" s="6" customFormat="1" x14ac:dyDescent="0.25">
      <c r="A155" s="6" t="s">
        <v>28</v>
      </c>
      <c r="B155" s="6">
        <v>467130</v>
      </c>
      <c r="C155" s="1">
        <f>IFERROR(INDEX('Balance des comptes'!$O:$O,MATCH('2026'!B155,'Balance des comptes'!$A:$A,0)),0)</f>
        <v>0</v>
      </c>
      <c r="D155" s="1">
        <f>IFERROR(INDEX('Balance des comptes'!$R:$R,MATCH('2026'!B155,'Balance des comptes'!$A:$A,0)),0)</f>
        <v>41693150.039999962</v>
      </c>
      <c r="E155" s="1">
        <f>+C155-D155</f>
        <v>-41693150.039999962</v>
      </c>
      <c r="G155" s="1"/>
    </row>
    <row r="156" spans="1:13" s="6" customFormat="1" x14ac:dyDescent="0.25">
      <c r="B156" s="6">
        <v>460130</v>
      </c>
      <c r="C156" s="1">
        <f>IFERROR(INDEX('Balance des comptes'!$O:$O,MATCH('2026'!B156,'Balance des comptes'!$A:$A,0)),0)</f>
        <v>0</v>
      </c>
      <c r="D156" s="1">
        <f>IFERROR(INDEX('Balance des comptes'!$R:$R,MATCH('2026'!B156,'Balance des comptes'!$A:$A,0)),0)</f>
        <v>0</v>
      </c>
      <c r="E156" s="1">
        <f>+C156-D156</f>
        <v>0</v>
      </c>
      <c r="F156" s="3"/>
      <c r="G156" s="1"/>
    </row>
    <row r="157" spans="1:13" s="6" customFormat="1" x14ac:dyDescent="0.25">
      <c r="B157" s="6">
        <v>461130</v>
      </c>
      <c r="C157" s="1">
        <f>IFERROR(INDEX('Balance des comptes'!$O:$O,MATCH('2026'!B157,'Balance des comptes'!$A:$A,0)),0)</f>
        <v>0</v>
      </c>
      <c r="D157" s="1">
        <f>IFERROR(INDEX('Balance des comptes'!$R:$R,MATCH('2026'!B157,'Balance des comptes'!$A:$A,0)),0)</f>
        <v>0</v>
      </c>
      <c r="E157" s="1">
        <f>+C157-D157</f>
        <v>0</v>
      </c>
      <c r="G157" s="1"/>
    </row>
    <row r="158" spans="1:13" s="6" customFormat="1" x14ac:dyDescent="0.25">
      <c r="B158" s="6">
        <v>462130</v>
      </c>
      <c r="C158" s="1">
        <f>IFERROR(INDEX('Balance des comptes'!$O:$O,MATCH('2026'!B158,'Balance des comptes'!$A:$A,0)),0)</f>
        <v>0</v>
      </c>
      <c r="D158" s="1">
        <f>IFERROR(INDEX('Balance des comptes'!$R:$R,MATCH('2026'!B158,'Balance des comptes'!$A:$A,0)),0)</f>
        <v>32000</v>
      </c>
      <c r="E158" s="1">
        <f>+C158-D158</f>
        <v>-32000</v>
      </c>
    </row>
    <row r="159" spans="1:13" s="6" customFormat="1" x14ac:dyDescent="0.25">
      <c r="B159" s="6" t="s">
        <v>17</v>
      </c>
      <c r="C159" s="1">
        <f>SUM(C155:C158)</f>
        <v>0</v>
      </c>
      <c r="D159" s="1">
        <f>SUM(D155:D158)</f>
        <v>41725150.039999962</v>
      </c>
      <c r="E159" s="1">
        <f>SUM(E155:E158)</f>
        <v>-41725150.039999962</v>
      </c>
    </row>
    <row r="160" spans="1:13" s="6" customFormat="1" x14ac:dyDescent="0.25">
      <c r="A160"/>
      <c r="B160"/>
      <c r="C160"/>
      <c r="D160"/>
      <c r="E160"/>
      <c r="F160" s="18"/>
      <c r="G160"/>
      <c r="H160"/>
      <c r="I160"/>
      <c r="J160"/>
      <c r="M160" s="1"/>
    </row>
    <row r="161" spans="1:13" s="6" customFormat="1" x14ac:dyDescent="0.25">
      <c r="A161" s="5" t="s">
        <v>27</v>
      </c>
      <c r="C161" s="6" t="s">
        <v>0</v>
      </c>
      <c r="D161" s="6" t="s">
        <v>1</v>
      </c>
      <c r="E161" s="6" t="s">
        <v>16</v>
      </c>
      <c r="K161" s="1"/>
      <c r="L161" s="1"/>
      <c r="M161" s="1"/>
    </row>
    <row r="162" spans="1:13" s="6" customFormat="1" x14ac:dyDescent="0.25">
      <c r="B162" s="6">
        <v>467201</v>
      </c>
      <c r="C162" s="1">
        <f>IFERROR(INDEX('Balance des comptes'!$O:$O,MATCH('2026'!B162,'Balance des comptes'!$A:$A,0)),0)</f>
        <v>27226393.119999945</v>
      </c>
      <c r="D162" s="1">
        <f>IFERROR(INDEX('Balance des comptes'!$R:$R,MATCH('2026'!B162,'Balance des comptes'!$A:$A,0)),0)</f>
        <v>0</v>
      </c>
      <c r="E162" s="1">
        <f>+C162-D162</f>
        <v>27226393.119999945</v>
      </c>
      <c r="I162" s="1"/>
      <c r="K162" s="1"/>
      <c r="L162" s="1"/>
      <c r="M162" s="1"/>
    </row>
    <row r="163" spans="1:13" s="6" customFormat="1" x14ac:dyDescent="0.25">
      <c r="B163" s="6">
        <v>460201</v>
      </c>
      <c r="C163" s="1">
        <f>IFERROR(INDEX('Balance des comptes'!$O:$O,MATCH('2026'!B163,'Balance des comptes'!$A:$A,0)),0)</f>
        <v>17786080.549999997</v>
      </c>
      <c r="D163" s="1">
        <f>IFERROR(INDEX('Balance des comptes'!$R:$R,MATCH('2026'!B163,'Balance des comptes'!$A:$A,0)),0)</f>
        <v>0</v>
      </c>
      <c r="E163" s="1">
        <f>+C163-D163</f>
        <v>17786080.549999997</v>
      </c>
      <c r="K163" s="1"/>
      <c r="L163" s="1"/>
      <c r="M163" s="1"/>
    </row>
    <row r="164" spans="1:13" s="6" customFormat="1" x14ac:dyDescent="0.25">
      <c r="B164" s="6">
        <v>461201</v>
      </c>
      <c r="C164" s="1">
        <f>IFERROR(INDEX('Balance des comptes'!$O:$O,MATCH('2026'!B164,'Balance des comptes'!$A:$A,0)),0)</f>
        <v>0</v>
      </c>
      <c r="D164" s="1">
        <f>IFERROR(INDEX('Balance des comptes'!$R:$R,MATCH('2026'!B164,'Balance des comptes'!$A:$A,0)),0)</f>
        <v>0</v>
      </c>
      <c r="E164" s="1">
        <f>+C164-D164</f>
        <v>0</v>
      </c>
      <c r="K164" s="1"/>
      <c r="L164" s="1"/>
      <c r="M164" s="1"/>
    </row>
    <row r="165" spans="1:13" s="6" customFormat="1" x14ac:dyDescent="0.25">
      <c r="B165" s="6">
        <v>462201</v>
      </c>
      <c r="C165" s="1">
        <f>IFERROR(INDEX('Balance des comptes'!$O:$O,MATCH('2026'!B165,'Balance des comptes'!$A:$A,0)),0)</f>
        <v>0</v>
      </c>
      <c r="D165" s="1">
        <f>IFERROR(INDEX('Balance des comptes'!$R:$R,MATCH('2026'!B165,'Balance des comptes'!$A:$A,0)),0)</f>
        <v>635204</v>
      </c>
      <c r="E165" s="1">
        <f>+C165-D165</f>
        <v>-635204</v>
      </c>
      <c r="H165" s="3"/>
      <c r="K165" s="1"/>
      <c r="L165" s="1"/>
      <c r="M165" s="1"/>
    </row>
    <row r="166" spans="1:13" s="6" customFormat="1" x14ac:dyDescent="0.25">
      <c r="B166" s="6" t="s">
        <v>17</v>
      </c>
      <c r="C166" s="1">
        <f>SUM(C162:C165)</f>
        <v>45012473.669999942</v>
      </c>
      <c r="D166" s="1">
        <f>SUM(D162:D165)</f>
        <v>635204</v>
      </c>
      <c r="E166" s="1">
        <f>SUM(E162:E165)</f>
        <v>44377269.669999942</v>
      </c>
      <c r="H166" s="3"/>
      <c r="K166" s="1"/>
      <c r="L166" s="1"/>
      <c r="M166" s="1"/>
    </row>
    <row r="167" spans="1:13" s="6" customFormat="1" x14ac:dyDescent="0.25">
      <c r="B167" s="6">
        <v>512201</v>
      </c>
      <c r="C167" s="1">
        <f>IFERROR(INDEX('Balance des comptes'!$O:$O,MATCH('2026'!B167,'Balance des comptes'!$A:$A,0)),0)</f>
        <v>9251931.75</v>
      </c>
      <c r="D167" s="1">
        <f>IFERROR(INDEX('Balance des comptes'!$R:$R,MATCH('2026'!B167,'Balance des comptes'!$A:$A,0)),0)</f>
        <v>0</v>
      </c>
      <c r="E167" s="1">
        <f>+C167-D167</f>
        <v>9251931.75</v>
      </c>
      <c r="K167" s="1"/>
      <c r="L167" s="1"/>
      <c r="M167" s="1"/>
    </row>
    <row r="168" spans="1:13" s="6" customFormat="1" x14ac:dyDescent="0.25">
      <c r="B168" s="6" t="s">
        <v>18</v>
      </c>
      <c r="C168" s="1">
        <f>SUM(C167)</f>
        <v>9251931.75</v>
      </c>
      <c r="D168" s="1">
        <f>SUM(D167:D167)</f>
        <v>0</v>
      </c>
      <c r="E168" s="1">
        <f>SUM(E167:E167)</f>
        <v>9251931.75</v>
      </c>
      <c r="M168" s="3"/>
    </row>
    <row r="169" spans="1:13" s="6" customFormat="1" x14ac:dyDescent="0.25">
      <c r="G169" s="6" t="s">
        <v>17</v>
      </c>
      <c r="H169" s="3">
        <f>E166+E178+E185+E192+E199+E206+E213</f>
        <v>-13599226.750000052</v>
      </c>
    </row>
    <row r="170" spans="1:13" s="6" customFormat="1" x14ac:dyDescent="0.25">
      <c r="B170" s="6" t="s">
        <v>19</v>
      </c>
      <c r="E170" s="3"/>
      <c r="G170" s="6" t="s">
        <v>18</v>
      </c>
      <c r="H170" s="3">
        <f>+E168</f>
        <v>9251931.75</v>
      </c>
    </row>
    <row r="171" spans="1:13" s="6" customFormat="1" x14ac:dyDescent="0.25">
      <c r="G171" s="6" t="s">
        <v>19</v>
      </c>
      <c r="H171" s="12">
        <f>SUM(H169:H170)</f>
        <v>-4347295.0000000522</v>
      </c>
    </row>
    <row r="172" spans="1:13" s="6" customFormat="1" x14ac:dyDescent="0.25">
      <c r="H172" s="1"/>
    </row>
    <row r="173" spans="1:13" s="6" customFormat="1" x14ac:dyDescent="0.25">
      <c r="A173" s="5" t="s">
        <v>32</v>
      </c>
      <c r="C173" s="6" t="s">
        <v>0</v>
      </c>
      <c r="D173" s="6" t="s">
        <v>1</v>
      </c>
      <c r="E173" s="6" t="s">
        <v>16</v>
      </c>
      <c r="H173" s="1"/>
    </row>
    <row r="174" spans="1:13" s="6" customFormat="1" x14ac:dyDescent="0.25">
      <c r="B174" s="6">
        <v>467202</v>
      </c>
      <c r="C174" s="1">
        <f>IFERROR(INDEX('Balance des comptes'!$O:$O,MATCH('2026'!B174,'Balance des comptes'!$A:$A,0)),0)</f>
        <v>0</v>
      </c>
      <c r="D174" s="1">
        <f>IFERROR(INDEX('Balance des comptes'!$R:$R,MATCH('2026'!B174,'Balance des comptes'!$A:$A,0)),0)</f>
        <v>39396482.799999997</v>
      </c>
      <c r="E174" s="1">
        <f>+C174-D174</f>
        <v>-39396482.799999997</v>
      </c>
      <c r="H174" s="29"/>
    </row>
    <row r="175" spans="1:13" s="6" customFormat="1" x14ac:dyDescent="0.25">
      <c r="B175" s="6">
        <v>460202</v>
      </c>
      <c r="C175" s="1">
        <f>IFERROR(INDEX('Balance des comptes'!$O:$O,MATCH('2026'!B175,'Balance des comptes'!$A:$A,0)),0)</f>
        <v>5758550</v>
      </c>
      <c r="D175" s="1">
        <f>IFERROR(INDEX('Balance des comptes'!$R:$R,MATCH('2026'!B175,'Balance des comptes'!$A:$A,0)),0)</f>
        <v>0</v>
      </c>
      <c r="E175" s="1">
        <f t="shared" ref="E175:E177" si="3">+C175-D175</f>
        <v>5758550</v>
      </c>
      <c r="H175" s="29"/>
    </row>
    <row r="176" spans="1:13" s="6" customFormat="1" x14ac:dyDescent="0.25">
      <c r="B176" s="6">
        <v>461202</v>
      </c>
      <c r="C176" s="1">
        <f>IFERROR(INDEX('Balance des comptes'!$O:$O,MATCH('2026'!B176,'Balance des comptes'!$A:$A,0)),0)</f>
        <v>0</v>
      </c>
      <c r="D176" s="1">
        <f>IFERROR(INDEX('Balance des comptes'!$R:$R,MATCH('2026'!B176,'Balance des comptes'!$A:$A,0)),0)</f>
        <v>0</v>
      </c>
      <c r="E176" s="1">
        <f t="shared" si="3"/>
        <v>0</v>
      </c>
      <c r="H176" s="29"/>
    </row>
    <row r="177" spans="1:8" s="6" customFormat="1" x14ac:dyDescent="0.25">
      <c r="B177" s="6">
        <v>462202</v>
      </c>
      <c r="C177" s="1">
        <f>IFERROR(INDEX('Balance des comptes'!$O:$O,MATCH('2026'!B177,'Balance des comptes'!$A:$A,0)),0)</f>
        <v>0</v>
      </c>
      <c r="D177" s="1">
        <f>IFERROR(INDEX('Balance des comptes'!$R:$R,MATCH('2026'!B177,'Balance des comptes'!$A:$A,0)),0)</f>
        <v>0</v>
      </c>
      <c r="E177" s="1">
        <f t="shared" si="3"/>
        <v>0</v>
      </c>
      <c r="F177" s="3"/>
      <c r="H177" s="3"/>
    </row>
    <row r="178" spans="1:8" s="6" customFormat="1" x14ac:dyDescent="0.25">
      <c r="B178" s="6" t="s">
        <v>17</v>
      </c>
      <c r="C178" s="1">
        <f>SUM(C174:C177)</f>
        <v>5758550</v>
      </c>
      <c r="D178" s="1">
        <f>SUM(D174:D177)</f>
        <v>39396482.799999997</v>
      </c>
      <c r="E178" s="1">
        <f>SUM(E174:E177)</f>
        <v>-33637932.799999997</v>
      </c>
      <c r="H178" s="3"/>
    </row>
    <row r="179" spans="1:8" s="6" customFormat="1" x14ac:dyDescent="0.25">
      <c r="C179" s="1"/>
      <c r="D179" s="1"/>
      <c r="E179" s="1"/>
      <c r="H179" s="3"/>
    </row>
    <row r="180" spans="1:8" s="6" customFormat="1" x14ac:dyDescent="0.25">
      <c r="A180" s="5" t="s">
        <v>37</v>
      </c>
      <c r="C180" s="6" t="s">
        <v>0</v>
      </c>
      <c r="D180" s="6" t="s">
        <v>1</v>
      </c>
      <c r="E180" s="6" t="s">
        <v>16</v>
      </c>
    </row>
    <row r="181" spans="1:8" s="6" customFormat="1" x14ac:dyDescent="0.25">
      <c r="B181" s="6">
        <v>467203</v>
      </c>
      <c r="C181" s="1">
        <f>IFERROR(INDEX('Balance des comptes'!$O:$O,MATCH('2026'!B181,'Balance des comptes'!$A:$A,0)),0)</f>
        <v>0</v>
      </c>
      <c r="D181" s="1">
        <f>IFERROR(INDEX('Balance des comptes'!$R:$R,MATCH('2026'!B181,'Balance des comptes'!$A:$A,0)),0)</f>
        <v>2742514.9999999981</v>
      </c>
      <c r="E181" s="1">
        <f>+C181-D181</f>
        <v>-2742514.9999999981</v>
      </c>
      <c r="G181" s="3"/>
    </row>
    <row r="182" spans="1:8" s="6" customFormat="1" x14ac:dyDescent="0.25">
      <c r="B182" s="6">
        <v>460203</v>
      </c>
      <c r="C182" s="1">
        <f>IFERROR(INDEX('Balance des comptes'!$O:$O,MATCH('2026'!B182,'Balance des comptes'!$A:$A,0)),0)</f>
        <v>0</v>
      </c>
      <c r="D182" s="1">
        <f>IFERROR(INDEX('Balance des comptes'!$R:$R,MATCH('2026'!B182,'Balance des comptes'!$A:$A,0)),0)</f>
        <v>0</v>
      </c>
      <c r="E182" s="1">
        <f>+C182-D182</f>
        <v>0</v>
      </c>
      <c r="G182" s="3"/>
    </row>
    <row r="183" spans="1:8" s="6" customFormat="1" x14ac:dyDescent="0.25">
      <c r="B183" s="6">
        <v>461203</v>
      </c>
      <c r="C183" s="1">
        <f>IFERROR(INDEX('Balance des comptes'!$O:$O,MATCH('2026'!B183,'Balance des comptes'!$A:$A,0)),0)</f>
        <v>0</v>
      </c>
      <c r="D183" s="1">
        <f>IFERROR(INDEX('Balance des comptes'!$R:$R,MATCH('2026'!B183,'Balance des comptes'!$A:$A,0)),0)</f>
        <v>0</v>
      </c>
      <c r="E183" s="1">
        <f>+C183-D183</f>
        <v>0</v>
      </c>
      <c r="H183" s="3"/>
    </row>
    <row r="184" spans="1:8" s="6" customFormat="1" x14ac:dyDescent="0.25">
      <c r="B184" s="6">
        <v>462203</v>
      </c>
      <c r="C184" s="1">
        <f>IFERROR(INDEX('Balance des comptes'!$O:$O,MATCH('2026'!B184,'Balance des comptes'!$A:$A,0)),0)</f>
        <v>0</v>
      </c>
      <c r="D184" s="1">
        <f>IFERROR(INDEX('Balance des comptes'!$R:$R,MATCH('2026'!B184,'Balance des comptes'!$A:$A,0)),0)</f>
        <v>0</v>
      </c>
      <c r="E184" s="1">
        <f>+C184-D184</f>
        <v>0</v>
      </c>
      <c r="F184" s="3"/>
    </row>
    <row r="185" spans="1:8" s="6" customFormat="1" x14ac:dyDescent="0.25">
      <c r="B185" s="6" t="s">
        <v>17</v>
      </c>
      <c r="C185" s="1">
        <f>SUM(C181:C184)</f>
        <v>0</v>
      </c>
      <c r="D185" s="1">
        <f>SUM(D181:D184)</f>
        <v>2742514.9999999981</v>
      </c>
      <c r="E185" s="1">
        <f>SUM(E181:E184)</f>
        <v>-2742514.9999999981</v>
      </c>
    </row>
    <row r="186" spans="1:8" s="6" customFormat="1" x14ac:dyDescent="0.25">
      <c r="E186" s="3"/>
    </row>
    <row r="187" spans="1:8" s="6" customFormat="1" x14ac:dyDescent="0.25">
      <c r="A187" s="5" t="s">
        <v>117</v>
      </c>
      <c r="C187" s="6" t="s">
        <v>0</v>
      </c>
      <c r="D187" s="6" t="s">
        <v>1</v>
      </c>
      <c r="E187" s="6" t="s">
        <v>16</v>
      </c>
    </row>
    <row r="188" spans="1:8" s="6" customFormat="1" x14ac:dyDescent="0.25">
      <c r="B188" s="6">
        <v>467206</v>
      </c>
      <c r="C188" s="1">
        <f>IFERROR(INDEX('Balance des comptes'!$O:$O,MATCH('2026'!B188,'Balance des comptes'!$A:$A,0)),0)</f>
        <v>0</v>
      </c>
      <c r="D188" s="1">
        <f>IFERROR(INDEX('Balance des comptes'!$R:$R,MATCH('2026'!B188,'Balance des comptes'!$A:$A,0)),0)</f>
        <v>11033737</v>
      </c>
      <c r="E188" s="1">
        <f>+C188-D188</f>
        <v>-11033737</v>
      </c>
    </row>
    <row r="189" spans="1:8" s="6" customFormat="1" x14ac:dyDescent="0.25">
      <c r="B189" s="6">
        <v>460206</v>
      </c>
      <c r="C189" s="1">
        <f>IFERROR(INDEX('Balance des comptes'!$O:$O,MATCH('2026'!B189,'Balance des comptes'!$A:$A,0)),0)</f>
        <v>9780000</v>
      </c>
      <c r="D189" s="1">
        <f>IFERROR(INDEX('Balance des comptes'!$R:$R,MATCH('2026'!B189,'Balance des comptes'!$A:$A,0)),0)</f>
        <v>0</v>
      </c>
      <c r="E189" s="1">
        <f>+C189-D189</f>
        <v>9780000</v>
      </c>
    </row>
    <row r="190" spans="1:8" s="6" customFormat="1" x14ac:dyDescent="0.25">
      <c r="B190" s="6">
        <v>461206</v>
      </c>
      <c r="C190" s="1">
        <f>IFERROR(INDEX('Balance des comptes'!$O:$O,MATCH('2026'!B190,'Balance des comptes'!$A:$A,0)),0)</f>
        <v>0</v>
      </c>
      <c r="D190" s="1">
        <f>IFERROR(INDEX('Balance des comptes'!$R:$R,MATCH('2026'!B190,'Balance des comptes'!$A:$A,0)),0)</f>
        <v>0</v>
      </c>
      <c r="E190" s="1">
        <f>+C190-D190</f>
        <v>0</v>
      </c>
    </row>
    <row r="191" spans="1:8" s="6" customFormat="1" x14ac:dyDescent="0.25">
      <c r="B191" s="6">
        <v>462206</v>
      </c>
      <c r="C191" s="1">
        <f>IFERROR(INDEX('Balance des comptes'!$O:$O,MATCH('2026'!B191,'Balance des comptes'!$A:$A,0)),0)</f>
        <v>0</v>
      </c>
      <c r="D191" s="1">
        <f>IFERROR(INDEX('Balance des comptes'!$R:$R,MATCH('2026'!B191,'Balance des comptes'!$A:$A,0)),0)</f>
        <v>1449060</v>
      </c>
      <c r="E191" s="1">
        <f>+C191-D191</f>
        <v>-1449060</v>
      </c>
    </row>
    <row r="192" spans="1:8" s="6" customFormat="1" x14ac:dyDescent="0.25">
      <c r="B192" s="6" t="s">
        <v>17</v>
      </c>
      <c r="C192" s="1">
        <f>SUM(C188:C191)</f>
        <v>9780000</v>
      </c>
      <c r="D192" s="1">
        <f>SUM(D188:D191)</f>
        <v>12482797</v>
      </c>
      <c r="E192" s="1">
        <f>SUM(E188:E191)</f>
        <v>-2702797</v>
      </c>
    </row>
    <row r="193" spans="1:5" s="6" customFormat="1" x14ac:dyDescent="0.25">
      <c r="E193" s="3"/>
    </row>
    <row r="194" spans="1:5" s="6" customFormat="1" x14ac:dyDescent="0.25">
      <c r="A194" s="5" t="s">
        <v>118</v>
      </c>
      <c r="C194" s="6" t="s">
        <v>0</v>
      </c>
      <c r="D194" s="6" t="s">
        <v>1</v>
      </c>
      <c r="E194" s="6" t="s">
        <v>16</v>
      </c>
    </row>
    <row r="195" spans="1:5" s="6" customFormat="1" x14ac:dyDescent="0.25">
      <c r="B195" s="6">
        <v>467207</v>
      </c>
      <c r="C195" s="1">
        <f>IFERROR(INDEX('Balance des comptes'!$O:$O,MATCH('2026'!B195,'Balance des comptes'!$A:$A,0)),0)</f>
        <v>0</v>
      </c>
      <c r="D195" s="1">
        <f>IFERROR(INDEX('Balance des comptes'!$R:$R,MATCH('2026'!B195,'Balance des comptes'!$A:$A,0)),0)</f>
        <v>6137593</v>
      </c>
      <c r="E195" s="1">
        <f>+C195-D195</f>
        <v>-6137593</v>
      </c>
    </row>
    <row r="196" spans="1:5" s="6" customFormat="1" x14ac:dyDescent="0.25">
      <c r="B196" s="6">
        <v>460207</v>
      </c>
      <c r="C196" s="1">
        <f>IFERROR(INDEX('Balance des comptes'!$O:$O,MATCH('2026'!B196,'Balance des comptes'!$A:$A,0)),0)</f>
        <v>1500000</v>
      </c>
      <c r="D196" s="1">
        <f>IFERROR(INDEX('Balance des comptes'!$R:$R,MATCH('2026'!B196,'Balance des comptes'!$A:$A,0)),0)</f>
        <v>0</v>
      </c>
      <c r="E196" s="1">
        <f>+C196-D196</f>
        <v>1500000</v>
      </c>
    </row>
    <row r="197" spans="1:5" s="6" customFormat="1" x14ac:dyDescent="0.25">
      <c r="B197" s="6">
        <v>461207</v>
      </c>
      <c r="C197" s="1">
        <f>IFERROR(INDEX('Balance des comptes'!$O:$O,MATCH('2026'!B197,'Balance des comptes'!$A:$A,0)),0)</f>
        <v>0</v>
      </c>
      <c r="D197" s="1">
        <f>IFERROR(INDEX('Balance des comptes'!$R:$R,MATCH('2026'!B197,'Balance des comptes'!$A:$A,0)),0)</f>
        <v>0</v>
      </c>
      <c r="E197" s="1">
        <f>+C197-D197</f>
        <v>0</v>
      </c>
    </row>
    <row r="198" spans="1:5" s="6" customFormat="1" x14ac:dyDescent="0.25">
      <c r="B198" s="6">
        <v>462207</v>
      </c>
      <c r="C198" s="1">
        <f>IFERROR(INDEX('Balance des comptes'!$O:$O,MATCH('2026'!B198,'Balance des comptes'!$A:$A,0)),0)</f>
        <v>0</v>
      </c>
      <c r="D198" s="1">
        <f>IFERROR(INDEX('Balance des comptes'!$R:$R,MATCH('2026'!B198,'Balance des comptes'!$A:$A,0)),0)</f>
        <v>0</v>
      </c>
      <c r="E198" s="1">
        <f>+C198-D198</f>
        <v>0</v>
      </c>
    </row>
    <row r="199" spans="1:5" s="6" customFormat="1" x14ac:dyDescent="0.25">
      <c r="B199" s="6" t="s">
        <v>17</v>
      </c>
      <c r="C199" s="1">
        <f>SUM(C195:C198)</f>
        <v>1500000</v>
      </c>
      <c r="D199" s="1">
        <f>SUM(D195:D198)</f>
        <v>6137593</v>
      </c>
      <c r="E199" s="1">
        <f>SUM(E195:E198)</f>
        <v>-4637593</v>
      </c>
    </row>
    <row r="200" spans="1:5" s="6" customFormat="1" x14ac:dyDescent="0.25">
      <c r="E200" s="3"/>
    </row>
    <row r="201" spans="1:5" s="6" customFormat="1" x14ac:dyDescent="0.25">
      <c r="A201" s="5" t="s">
        <v>119</v>
      </c>
      <c r="C201" s="6" t="s">
        <v>0</v>
      </c>
      <c r="D201" s="6" t="s">
        <v>1</v>
      </c>
      <c r="E201" s="6" t="s">
        <v>16</v>
      </c>
    </row>
    <row r="202" spans="1:5" s="6" customFormat="1" x14ac:dyDescent="0.25">
      <c r="B202" s="6">
        <v>467204</v>
      </c>
      <c r="C202" s="1">
        <f>IFERROR(INDEX('Balance des comptes'!$O:$O,MATCH('2026'!B202,'Balance des comptes'!$A:$A,0)),0)</f>
        <v>0</v>
      </c>
      <c r="D202" s="1">
        <f>IFERROR(INDEX('Balance des comptes'!$R:$R,MATCH('2026'!B202,'Balance des comptes'!$A:$A,0)),0)</f>
        <v>2902866</v>
      </c>
      <c r="E202" s="1">
        <f>+C202-D202</f>
        <v>-2902866</v>
      </c>
    </row>
    <row r="203" spans="1:5" s="6" customFormat="1" x14ac:dyDescent="0.25">
      <c r="B203" s="6">
        <v>460204</v>
      </c>
      <c r="C203" s="1">
        <f>IFERROR(INDEX('Balance des comptes'!$O:$O,MATCH('2026'!B203,'Balance des comptes'!$A:$A,0)),0)</f>
        <v>809180</v>
      </c>
      <c r="D203" s="1">
        <f>IFERROR(INDEX('Balance des comptes'!$R:$R,MATCH('2026'!B203,'Balance des comptes'!$A:$A,0)),0)</f>
        <v>0</v>
      </c>
      <c r="E203" s="1">
        <f>+C203-D203</f>
        <v>809180</v>
      </c>
    </row>
    <row r="204" spans="1:5" s="6" customFormat="1" x14ac:dyDescent="0.25">
      <c r="B204" s="6">
        <v>461204</v>
      </c>
      <c r="C204" s="1">
        <f>IFERROR(INDEX('Balance des comptes'!$O:$O,MATCH('2026'!B204,'Balance des comptes'!$A:$A,0)),0)</f>
        <v>0</v>
      </c>
      <c r="D204" s="1">
        <f>IFERROR(INDEX('Balance des comptes'!$R:$R,MATCH('2026'!B204,'Balance des comptes'!$A:$A,0)),0)</f>
        <v>0</v>
      </c>
      <c r="E204" s="1">
        <f>+C204-D204</f>
        <v>0</v>
      </c>
    </row>
    <row r="205" spans="1:5" s="6" customFormat="1" x14ac:dyDescent="0.25">
      <c r="B205" s="6">
        <v>462204</v>
      </c>
      <c r="C205" s="1">
        <f>IFERROR(INDEX('Balance des comptes'!$O:$O,MATCH('2026'!B205,'Balance des comptes'!$A:$A,0)),0)</f>
        <v>0</v>
      </c>
      <c r="D205" s="1">
        <f>IFERROR(INDEX('Balance des comptes'!$R:$R,MATCH('2026'!B205,'Balance des comptes'!$A:$A,0)),0)</f>
        <v>0</v>
      </c>
      <c r="E205" s="1">
        <f>+C205-D205</f>
        <v>0</v>
      </c>
    </row>
    <row r="206" spans="1:5" s="6" customFormat="1" x14ac:dyDescent="0.25">
      <c r="B206" s="6" t="s">
        <v>17</v>
      </c>
      <c r="C206" s="1">
        <f>SUM(C202:C205)</f>
        <v>809180</v>
      </c>
      <c r="D206" s="1">
        <f>SUM(D202:D205)</f>
        <v>2902866</v>
      </c>
      <c r="E206" s="1">
        <f>SUM(E202:E205)</f>
        <v>-2093686</v>
      </c>
    </row>
    <row r="207" spans="1:5" s="6" customFormat="1" x14ac:dyDescent="0.25">
      <c r="E207" s="3"/>
    </row>
    <row r="208" spans="1:5" s="6" customFormat="1" x14ac:dyDescent="0.25">
      <c r="A208" s="5" t="s">
        <v>120</v>
      </c>
      <c r="C208" s="6" t="s">
        <v>0</v>
      </c>
      <c r="D208" s="6" t="s">
        <v>1</v>
      </c>
      <c r="E208" s="6" t="s">
        <v>16</v>
      </c>
    </row>
    <row r="209" spans="1:10" s="6" customFormat="1" x14ac:dyDescent="0.25">
      <c r="B209" s="6">
        <v>467205</v>
      </c>
      <c r="C209" s="1">
        <f>IFERROR(INDEX('Balance des comptes'!$O:$O,MATCH('2026'!B209,'Balance des comptes'!$A:$A,0)),0)</f>
        <v>0</v>
      </c>
      <c r="D209" s="1">
        <f>IFERROR(INDEX('Balance des comptes'!$R:$R,MATCH('2026'!B209,'Balance des comptes'!$A:$A,0)),0)</f>
        <v>12161972.619999999</v>
      </c>
      <c r="E209" s="1">
        <f>+C209-D209</f>
        <v>-12161972.619999999</v>
      </c>
    </row>
    <row r="210" spans="1:10" s="6" customFormat="1" x14ac:dyDescent="0.25">
      <c r="B210" s="6">
        <v>460205</v>
      </c>
      <c r="C210" s="1">
        <f>IFERROR(INDEX('Balance des comptes'!$O:$O,MATCH('2026'!B210,'Balance des comptes'!$A:$A,0)),0)</f>
        <v>0</v>
      </c>
      <c r="D210" s="1">
        <f>IFERROR(INDEX('Balance des comptes'!$R:$R,MATCH('2026'!B210,'Balance des comptes'!$A:$A,0)),0)</f>
        <v>0</v>
      </c>
      <c r="E210" s="1">
        <f>+C210-D210</f>
        <v>0</v>
      </c>
    </row>
    <row r="211" spans="1:10" s="6" customFormat="1" x14ac:dyDescent="0.25">
      <c r="B211" s="6">
        <v>461205</v>
      </c>
      <c r="C211" s="1">
        <f>IFERROR(INDEX('Balance des comptes'!$O:$O,MATCH('2026'!B211,'Balance des comptes'!$A:$A,0)),0)</f>
        <v>0</v>
      </c>
      <c r="D211" s="1">
        <f>IFERROR(INDEX('Balance des comptes'!$R:$R,MATCH('2026'!B211,'Balance des comptes'!$A:$A,0)),0)</f>
        <v>0</v>
      </c>
      <c r="E211" s="1">
        <f>+C211-D211</f>
        <v>0</v>
      </c>
    </row>
    <row r="212" spans="1:10" s="6" customFormat="1" x14ac:dyDescent="0.25">
      <c r="B212" s="6">
        <v>462205</v>
      </c>
      <c r="C212" s="1">
        <f>IFERROR(INDEX('Balance des comptes'!$O:$O,MATCH('2026'!B212,'Balance des comptes'!$A:$A,0)),0)</f>
        <v>0</v>
      </c>
      <c r="D212" s="1">
        <f>IFERROR(INDEX('Balance des comptes'!$R:$R,MATCH('2026'!B212,'Balance des comptes'!$A:$A,0)),0)</f>
        <v>0</v>
      </c>
      <c r="E212" s="1">
        <f>+C212-D212</f>
        <v>0</v>
      </c>
    </row>
    <row r="213" spans="1:10" s="6" customFormat="1" x14ac:dyDescent="0.25">
      <c r="B213" s="6" t="s">
        <v>17</v>
      </c>
      <c r="C213" s="1">
        <f>SUM(C209:C212)</f>
        <v>0</v>
      </c>
      <c r="D213" s="1">
        <f>SUM(D209:D212)</f>
        <v>12161972.619999999</v>
      </c>
      <c r="E213" s="1">
        <f>SUM(E209:E212)</f>
        <v>-12161972.619999999</v>
      </c>
    </row>
    <row r="214" spans="1:10" x14ac:dyDescent="0.25">
      <c r="A214" s="6"/>
      <c r="B214" s="6"/>
      <c r="C214" s="6"/>
      <c r="D214" s="6"/>
      <c r="E214" s="3"/>
      <c r="F214" s="6"/>
      <c r="G214" s="6"/>
      <c r="H214" s="6"/>
      <c r="I214" s="6"/>
      <c r="J214" s="6"/>
    </row>
    <row r="215" spans="1:10" s="6" customFormat="1" x14ac:dyDescent="0.25">
      <c r="A215"/>
      <c r="B215"/>
      <c r="C215"/>
      <c r="D215"/>
      <c r="E215"/>
      <c r="F215"/>
      <c r="G215"/>
      <c r="H215"/>
      <c r="I215"/>
      <c r="J215"/>
    </row>
    <row r="216" spans="1:10" s="6" customFormat="1" x14ac:dyDescent="0.25">
      <c r="A216" s="5" t="s">
        <v>5</v>
      </c>
      <c r="C216" s="6" t="s">
        <v>0</v>
      </c>
      <c r="D216" s="6" t="s">
        <v>1</v>
      </c>
      <c r="E216" s="6" t="s">
        <v>16</v>
      </c>
    </row>
    <row r="217" spans="1:10" s="6" customFormat="1" x14ac:dyDescent="0.25">
      <c r="B217" s="6">
        <v>467210</v>
      </c>
      <c r="C217" s="1">
        <f>IFERROR(INDEX('Balance des comptes'!$O:$O,MATCH('2026'!B217,'Balance des comptes'!$A:$A,0)),0)</f>
        <v>0</v>
      </c>
      <c r="D217" s="1">
        <f>IFERROR(INDEX('Balance des comptes'!$R:$R,MATCH('2026'!B217,'Balance des comptes'!$A:$A,0)),0)</f>
        <v>149499</v>
      </c>
      <c r="E217" s="1">
        <f>+C217-D217</f>
        <v>-149499</v>
      </c>
      <c r="F217" s="3"/>
    </row>
    <row r="218" spans="1:10" s="6" customFormat="1" x14ac:dyDescent="0.25">
      <c r="B218" s="6">
        <v>460210</v>
      </c>
      <c r="C218" s="1">
        <f>IFERROR(INDEX('Balance des comptes'!$O:$O,MATCH('2026'!B218,'Balance des comptes'!$A:$A,0)),0)</f>
        <v>0</v>
      </c>
      <c r="D218" s="1">
        <f>IFERROR(INDEX('Balance des comptes'!$R:$R,MATCH('2026'!B218,'Balance des comptes'!$A:$A,0)),0)</f>
        <v>0</v>
      </c>
      <c r="E218" s="1">
        <f>+C218-D218</f>
        <v>0</v>
      </c>
      <c r="F218" s="1"/>
      <c r="G218" s="10"/>
    </row>
    <row r="219" spans="1:10" s="6" customFormat="1" x14ac:dyDescent="0.25">
      <c r="B219" s="6">
        <v>461210</v>
      </c>
      <c r="C219" s="1">
        <f>IFERROR(INDEX('Balance des comptes'!$O:$O,MATCH('2026'!B219,'Balance des comptes'!$A:$A,0)),0)</f>
        <v>0</v>
      </c>
      <c r="D219" s="1">
        <f>IFERROR(INDEX('Balance des comptes'!$R:$R,MATCH('2026'!B219,'Balance des comptes'!$A:$A,0)),0)</f>
        <v>0</v>
      </c>
      <c r="E219" s="1">
        <f>+C219-D219</f>
        <v>0</v>
      </c>
      <c r="F219" s="3"/>
    </row>
    <row r="220" spans="1:10" s="6" customFormat="1" x14ac:dyDescent="0.25">
      <c r="B220" s="6">
        <v>462210</v>
      </c>
      <c r="C220" s="1">
        <f>IFERROR(INDEX('Balance des comptes'!$O:$O,MATCH('2026'!B220,'Balance des comptes'!$A:$A,0)),0)</f>
        <v>0</v>
      </c>
      <c r="D220" s="1">
        <f>IFERROR(INDEX('Balance des comptes'!$R:$R,MATCH('2026'!B220,'Balance des comptes'!$A:$A,0)),0)</f>
        <v>0</v>
      </c>
      <c r="E220" s="1">
        <f>+C220-D220</f>
        <v>0</v>
      </c>
      <c r="F220" s="1"/>
      <c r="G220" s="3"/>
    </row>
    <row r="221" spans="1:10" s="6" customFormat="1" x14ac:dyDescent="0.25">
      <c r="B221" s="6" t="s">
        <v>17</v>
      </c>
      <c r="C221" s="1">
        <f>SUM(C217:C220)</f>
        <v>0</v>
      </c>
      <c r="D221" s="1">
        <f>SUM(D217:D220)</f>
        <v>149499</v>
      </c>
      <c r="E221" s="1">
        <f>SUM(E217:E220)</f>
        <v>-149499</v>
      </c>
      <c r="F221" s="1"/>
      <c r="G221" s="6" t="s">
        <v>17</v>
      </c>
      <c r="H221" s="3">
        <f>E221+E230</f>
        <v>-149319</v>
      </c>
    </row>
    <row r="222" spans="1:10" s="6" customFormat="1" x14ac:dyDescent="0.25">
      <c r="B222" s="6">
        <v>512210</v>
      </c>
      <c r="C222" s="1">
        <f>IFERROR(INDEX('Balance des comptes'!$O:$O,MATCH('2026'!B222,'Balance des comptes'!$A:$A,0)),0)</f>
        <v>149319.39999999106</v>
      </c>
      <c r="D222" s="1">
        <f>IFERROR(INDEX('Balance des comptes'!$R:$R,MATCH('2026'!B222,'Balance des comptes'!$A:$A,0)),0)</f>
        <v>0</v>
      </c>
      <c r="E222" s="1">
        <f>C222-D222</f>
        <v>149319.39999999106</v>
      </c>
      <c r="F222" s="1"/>
      <c r="G222" s="6" t="s">
        <v>18</v>
      </c>
      <c r="H222" s="3">
        <f>E223</f>
        <v>149319.39999999106</v>
      </c>
    </row>
    <row r="223" spans="1:10" s="6" customFormat="1" x14ac:dyDescent="0.25">
      <c r="B223" s="6" t="s">
        <v>18</v>
      </c>
      <c r="C223" s="1">
        <f>SUM(C222:C222)</f>
        <v>149319.39999999106</v>
      </c>
      <c r="D223" s="1">
        <f>SUM(D222:D222)</f>
        <v>0</v>
      </c>
      <c r="E223" s="1">
        <f>SUM(E222:E222)</f>
        <v>149319.39999999106</v>
      </c>
      <c r="G223" s="6" t="s">
        <v>19</v>
      </c>
      <c r="H223" s="12">
        <f>SUM(H221:H222)</f>
        <v>0.39999999105930328</v>
      </c>
    </row>
    <row r="224" spans="1:10" s="6" customFormat="1" x14ac:dyDescent="0.25">
      <c r="C224" s="1"/>
      <c r="D224" s="1"/>
      <c r="E224" s="1"/>
    </row>
    <row r="225" spans="1:9" s="6" customFormat="1" x14ac:dyDescent="0.25">
      <c r="A225" s="5" t="s">
        <v>208</v>
      </c>
      <c r="C225" s="6" t="s">
        <v>0</v>
      </c>
      <c r="D225" s="6" t="s">
        <v>1</v>
      </c>
      <c r="E225" s="6" t="s">
        <v>16</v>
      </c>
    </row>
    <row r="226" spans="1:9" s="6" customFormat="1" x14ac:dyDescent="0.25">
      <c r="B226" s="6">
        <v>467211</v>
      </c>
      <c r="C226" s="1">
        <f>IFERROR(INDEX('Balance des comptes'!$O:$O,MATCH('2026'!B226,'Balance des comptes'!$A:$A,0)),0)</f>
        <v>0</v>
      </c>
      <c r="D226" s="1">
        <f>IFERROR(INDEX('Balance des comptes'!$R:$R,MATCH('2026'!B226,'Balance des comptes'!$A:$A,0)),0)</f>
        <v>13478973.84</v>
      </c>
      <c r="E226" s="1">
        <f>+C226-D226</f>
        <v>-13478973.84</v>
      </c>
      <c r="F226" s="3"/>
    </row>
    <row r="227" spans="1:9" s="6" customFormat="1" x14ac:dyDescent="0.25">
      <c r="B227" s="6">
        <v>460211</v>
      </c>
      <c r="C227" s="1">
        <f>IFERROR(INDEX('Balance des comptes'!$O:$O,MATCH('2026'!B227,'Balance des comptes'!$A:$A,0)),0)</f>
        <v>13479153.84</v>
      </c>
      <c r="D227" s="1">
        <f>IFERROR(INDEX('Balance des comptes'!$R:$R,MATCH('2026'!B227,'Balance des comptes'!$A:$A,0)),0)</f>
        <v>0</v>
      </c>
      <c r="E227" s="1">
        <f>+C227-D227</f>
        <v>13479153.84</v>
      </c>
      <c r="F227" s="1"/>
    </row>
    <row r="228" spans="1:9" s="6" customFormat="1" x14ac:dyDescent="0.25">
      <c r="B228" s="6">
        <v>461211</v>
      </c>
      <c r="C228" s="1">
        <f>IFERROR(INDEX('Balance des comptes'!$O:$O,MATCH('2026'!B228,'Balance des comptes'!$A:$A,0)),0)</f>
        <v>0</v>
      </c>
      <c r="D228" s="1">
        <f>IFERROR(INDEX('Balance des comptes'!$R:$R,MATCH('2026'!B228,'Balance des comptes'!$A:$A,0)),0)</f>
        <v>0</v>
      </c>
      <c r="E228" s="1">
        <f>+C228-D228</f>
        <v>0</v>
      </c>
      <c r="F228" s="3"/>
    </row>
    <row r="229" spans="1:9" s="6" customFormat="1" x14ac:dyDescent="0.25">
      <c r="B229" s="6">
        <v>462211</v>
      </c>
      <c r="C229" s="1">
        <f>IFERROR(INDEX('Balance des comptes'!$O:$O,MATCH('2026'!B229,'Balance des comptes'!$A:$A,0)),0)</f>
        <v>0</v>
      </c>
      <c r="D229" s="1">
        <f>IFERROR(INDEX('Balance des comptes'!$R:$R,MATCH('2026'!B229,'Balance des comptes'!$A:$A,0)),0)</f>
        <v>0</v>
      </c>
      <c r="E229" s="1">
        <f>+C229-D229</f>
        <v>0</v>
      </c>
      <c r="F229" s="1"/>
      <c r="G229" s="3"/>
    </row>
    <row r="230" spans="1:9" s="6" customFormat="1" x14ac:dyDescent="0.25">
      <c r="B230" s="6" t="s">
        <v>17</v>
      </c>
      <c r="C230" s="1">
        <f>SUM(C226:C229)</f>
        <v>13479153.84</v>
      </c>
      <c r="D230" s="1">
        <f>SUM(D226:D229)</f>
        <v>13478973.84</v>
      </c>
      <c r="E230" s="1">
        <f>SUM(E226:E229)</f>
        <v>180</v>
      </c>
      <c r="F230" s="1"/>
      <c r="G230" s="3"/>
    </row>
    <row r="231" spans="1:9" s="6" customFormat="1" x14ac:dyDescent="0.25">
      <c r="C231" s="1"/>
      <c r="D231" s="1"/>
      <c r="E231" s="1"/>
    </row>
    <row r="232" spans="1:9" s="6" customFormat="1" x14ac:dyDescent="0.25">
      <c r="C232" s="1"/>
      <c r="D232" s="1"/>
      <c r="E232" s="1"/>
    </row>
    <row r="233" spans="1:9" s="6" customFormat="1" x14ac:dyDescent="0.25"/>
    <row r="235" spans="1:9" s="6" customFormat="1" x14ac:dyDescent="0.25">
      <c r="A235" s="5" t="s">
        <v>35</v>
      </c>
      <c r="C235" s="6" t="s">
        <v>0</v>
      </c>
      <c r="D235" s="6" t="s">
        <v>1</v>
      </c>
      <c r="E235" s="6" t="s">
        <v>16</v>
      </c>
    </row>
    <row r="236" spans="1:9" s="6" customFormat="1" x14ac:dyDescent="0.25">
      <c r="B236" s="6">
        <v>467220</v>
      </c>
      <c r="C236" s="1">
        <f>IFERROR(INDEX('Balance des comptes'!$O:$O,MATCH('2026'!B236,'Balance des comptes'!$A:$A,0)),0)</f>
        <v>0</v>
      </c>
      <c r="D236" s="1">
        <f>IFERROR(INDEX('Balance des comptes'!$R:$R,MATCH('2026'!B236,'Balance des comptes'!$A:$A,0)),0)</f>
        <v>9409057.9399999976</v>
      </c>
      <c r="E236" s="1">
        <f>+C236-D236</f>
        <v>-9409057.9399999976</v>
      </c>
    </row>
    <row r="237" spans="1:9" s="6" customFormat="1" x14ac:dyDescent="0.25">
      <c r="B237" s="6">
        <v>460220</v>
      </c>
      <c r="C237" s="1">
        <f>IFERROR(INDEX('Balance des comptes'!$O:$O,MATCH('2026'!B237,'Balance des comptes'!$A:$A,0)),0)</f>
        <v>11881664.659999996</v>
      </c>
      <c r="D237" s="1">
        <f>IFERROR(INDEX('Balance des comptes'!$R:$R,MATCH('2026'!B237,'Balance des comptes'!$A:$A,0)),0)</f>
        <v>0</v>
      </c>
      <c r="E237" s="1">
        <f>+C237-D237</f>
        <v>11881664.659999996</v>
      </c>
      <c r="F237" s="3"/>
      <c r="H237" s="1"/>
    </row>
    <row r="238" spans="1:9" s="6" customFormat="1" x14ac:dyDescent="0.25">
      <c r="B238" s="6">
        <v>461220</v>
      </c>
      <c r="C238" s="1">
        <f>IFERROR(INDEX('Balance des comptes'!$O:$O,MATCH('2026'!B238,'Balance des comptes'!$A:$A,0)),0)</f>
        <v>0</v>
      </c>
      <c r="D238" s="1">
        <f>IFERROR(INDEX('Balance des comptes'!$R:$R,MATCH('2026'!B238,'Balance des comptes'!$A:$A,0)),0)</f>
        <v>0</v>
      </c>
      <c r="E238" s="1">
        <f>+C238-D238</f>
        <v>0</v>
      </c>
      <c r="F238" s="3"/>
      <c r="H238" s="1"/>
    </row>
    <row r="239" spans="1:9" s="6" customFormat="1" x14ac:dyDescent="0.25">
      <c r="B239" s="6">
        <v>462220</v>
      </c>
      <c r="C239" s="1">
        <f>IFERROR(INDEX('Balance des comptes'!$O:$O,MATCH('2026'!B239,'Balance des comptes'!$A:$A,0)),0)</f>
        <v>0</v>
      </c>
      <c r="D239" s="1">
        <f>IFERROR(INDEX('Balance des comptes'!$R:$R,MATCH('2026'!B239,'Balance des comptes'!$A:$A,0)),0)</f>
        <v>2472600</v>
      </c>
      <c r="E239" s="1">
        <f>+C239-D239</f>
        <v>-2472600</v>
      </c>
      <c r="F239" s="3"/>
      <c r="H239" s="1"/>
    </row>
    <row r="240" spans="1:9" s="6" customFormat="1" x14ac:dyDescent="0.25">
      <c r="B240" s="6" t="s">
        <v>17</v>
      </c>
      <c r="C240" s="1">
        <f>SUM(C236:C239)</f>
        <v>11881664.659999996</v>
      </c>
      <c r="D240" s="1">
        <f>SUM(D236:D239)</f>
        <v>11881657.939999998</v>
      </c>
      <c r="E240" s="1">
        <f>SUM(E236:E239)</f>
        <v>6.7199999988079071</v>
      </c>
      <c r="F240" s="3"/>
      <c r="H240" s="3"/>
      <c r="I240" s="3"/>
    </row>
    <row r="241" spans="1:11" s="6" customFormat="1" x14ac:dyDescent="0.25">
      <c r="B241" s="6">
        <v>512220</v>
      </c>
      <c r="C241" s="1">
        <f>IFERROR(INDEX('Balance des comptes'!$O:$O,MATCH('2026'!B241,'Balance des comptes'!$A:$A,0)),0)</f>
        <v>18184444.109999985</v>
      </c>
      <c r="D241" s="1">
        <f>IFERROR(INDEX('Balance des comptes'!$R:$R,MATCH('2026'!B241,'Balance des comptes'!$A:$A,0)),0)</f>
        <v>0</v>
      </c>
      <c r="E241" s="1">
        <f>+C241-D241</f>
        <v>18184444.109999985</v>
      </c>
      <c r="F241" s="3"/>
    </row>
    <row r="242" spans="1:11" s="6" customFormat="1" x14ac:dyDescent="0.25">
      <c r="B242" s="6" t="s">
        <v>18</v>
      </c>
      <c r="C242" s="1">
        <f>SUM(C241:C241)</f>
        <v>18184444.109999985</v>
      </c>
      <c r="D242" s="1">
        <f>SUM(D241:D241)</f>
        <v>0</v>
      </c>
      <c r="E242" s="1">
        <f>SUM(E241:E241)</f>
        <v>18184444.109999985</v>
      </c>
      <c r="F242" s="3"/>
    </row>
    <row r="243" spans="1:11" s="6" customFormat="1" x14ac:dyDescent="0.25">
      <c r="G243" s="3"/>
      <c r="K243" s="3"/>
    </row>
    <row r="244" spans="1:11" s="6" customFormat="1" x14ac:dyDescent="0.25">
      <c r="E244" s="3"/>
      <c r="F244" s="1"/>
      <c r="G244" s="3"/>
      <c r="I244" s="3"/>
    </row>
    <row r="245" spans="1:11" s="6" customFormat="1" x14ac:dyDescent="0.25">
      <c r="A245" s="5" t="s">
        <v>33</v>
      </c>
      <c r="C245" s="6" t="s">
        <v>0</v>
      </c>
      <c r="D245" s="6" t="s">
        <v>1</v>
      </c>
      <c r="E245" s="6" t="s">
        <v>16</v>
      </c>
    </row>
    <row r="246" spans="1:11" s="6" customFormat="1" x14ac:dyDescent="0.25">
      <c r="B246" s="6">
        <v>467280</v>
      </c>
      <c r="C246" s="1">
        <f>IFERROR(INDEX('Balance des comptes'!$O:$O,MATCH('2026'!B246,'Balance des comptes'!$A:$A,0)),0)</f>
        <v>0</v>
      </c>
      <c r="D246" s="1">
        <f>IFERROR(INDEX('Balance des comptes'!$R:$R,MATCH('2026'!B246,'Balance des comptes'!$A:$A,0)),0)</f>
        <v>8985958.6000000015</v>
      </c>
      <c r="E246" s="1">
        <f>+C246-D246</f>
        <v>-8985958.6000000015</v>
      </c>
    </row>
    <row r="247" spans="1:11" s="6" customFormat="1" x14ac:dyDescent="0.25">
      <c r="B247" s="6">
        <v>460280</v>
      </c>
      <c r="C247" s="1">
        <f>IFERROR(INDEX('Balance des comptes'!$O:$O,MATCH('2026'!B247,'Balance des comptes'!$A:$A,0)),0)</f>
        <v>0</v>
      </c>
      <c r="D247" s="1">
        <f>IFERROR(INDEX('Balance des comptes'!$R:$R,MATCH('2026'!B247,'Balance des comptes'!$A:$A,0)),0)</f>
        <v>0</v>
      </c>
      <c r="E247" s="1">
        <f>+C247-D247</f>
        <v>0</v>
      </c>
      <c r="G247" s="6" t="s">
        <v>17</v>
      </c>
      <c r="H247" s="3">
        <f>+E240+E250+E257+E264+E271+E278</f>
        <v>-9049551.5099999979</v>
      </c>
    </row>
    <row r="248" spans="1:11" s="6" customFormat="1" x14ac:dyDescent="0.25">
      <c r="B248" s="6">
        <v>461280</v>
      </c>
      <c r="C248" s="1">
        <f>IFERROR(INDEX('Balance des comptes'!$O:$O,MATCH('2026'!B248,'Balance des comptes'!$A:$A,0)),0)</f>
        <v>0</v>
      </c>
      <c r="D248" s="1">
        <f>IFERROR(INDEX('Balance des comptes'!$R:$R,MATCH('2026'!B248,'Balance des comptes'!$A:$A,0)),0)</f>
        <v>0</v>
      </c>
      <c r="E248" s="1">
        <f>+C248-D248</f>
        <v>0</v>
      </c>
      <c r="G248" s="6" t="s">
        <v>18</v>
      </c>
      <c r="H248" s="3">
        <f>+E242</f>
        <v>18184444.109999985</v>
      </c>
    </row>
    <row r="249" spans="1:11" s="6" customFormat="1" x14ac:dyDescent="0.25">
      <c r="B249" s="6">
        <v>462280</v>
      </c>
      <c r="C249" s="1">
        <f>IFERROR(INDEX('Balance des comptes'!$O:$O,MATCH('2026'!B249,'Balance des comptes'!$A:$A,0)),0)</f>
        <v>0</v>
      </c>
      <c r="D249" s="1">
        <f>IFERROR(INDEX('Balance des comptes'!$R:$R,MATCH('2026'!B249,'Balance des comptes'!$A:$A,0)),0)</f>
        <v>0</v>
      </c>
      <c r="E249" s="1">
        <f>+C249-D249</f>
        <v>0</v>
      </c>
      <c r="F249" s="1"/>
      <c r="G249" s="6" t="s">
        <v>19</v>
      </c>
      <c r="H249" s="12">
        <f>SUM(H247:H248)</f>
        <v>9134892.5999999866</v>
      </c>
    </row>
    <row r="250" spans="1:11" s="6" customFormat="1" x14ac:dyDescent="0.25">
      <c r="B250" s="6" t="s">
        <v>17</v>
      </c>
      <c r="C250" s="1">
        <f>SUM(C246:C249)</f>
        <v>0</v>
      </c>
      <c r="D250" s="1">
        <f>SUM(D246:D249)</f>
        <v>8985958.6000000015</v>
      </c>
      <c r="E250" s="1">
        <f>SUM(E246:E249)</f>
        <v>-8985958.6000000015</v>
      </c>
      <c r="F250" s="1"/>
      <c r="H250" s="3"/>
      <c r="I250" s="3"/>
    </row>
    <row r="251" spans="1:11" s="6" customFormat="1" x14ac:dyDescent="0.25">
      <c r="E251" s="3"/>
      <c r="F251" s="1"/>
      <c r="H251" s="1"/>
      <c r="I251" s="3"/>
    </row>
    <row r="252" spans="1:11" s="6" customFormat="1" x14ac:dyDescent="0.25">
      <c r="A252" s="5" t="s">
        <v>34</v>
      </c>
      <c r="C252" s="6" t="s">
        <v>0</v>
      </c>
      <c r="D252" s="6" t="s">
        <v>1</v>
      </c>
      <c r="E252" s="6" t="s">
        <v>16</v>
      </c>
      <c r="H252" s="1"/>
      <c r="I252" s="1"/>
    </row>
    <row r="253" spans="1:11" s="6" customFormat="1" x14ac:dyDescent="0.25">
      <c r="B253" s="6">
        <v>467270</v>
      </c>
      <c r="C253" s="1">
        <f>IFERROR(INDEX('Balance des comptes'!$O:$O,MATCH('2026'!B253,'Balance des comptes'!$A:$A,0)),0)</f>
        <v>0.37000000476837158</v>
      </c>
      <c r="D253" s="1">
        <f>IFERROR(INDEX('Balance des comptes'!$R:$R,MATCH('2026'!B253,'Balance des comptes'!$A:$A,0)),0)</f>
        <v>0</v>
      </c>
      <c r="E253" s="1">
        <f>+C253-D253</f>
        <v>0.37000000476837158</v>
      </c>
      <c r="H253" s="1"/>
      <c r="I253" s="1"/>
    </row>
    <row r="254" spans="1:11" s="6" customFormat="1" x14ac:dyDescent="0.25">
      <c r="B254" s="6">
        <v>460270</v>
      </c>
      <c r="C254" s="1">
        <f>IFERROR(INDEX('Balance des comptes'!$O:$O,MATCH('2026'!B254,'Balance des comptes'!$A:$A,0)),0)</f>
        <v>0</v>
      </c>
      <c r="D254" s="1">
        <f>IFERROR(INDEX('Balance des comptes'!$R:$R,MATCH('2026'!B254,'Balance des comptes'!$A:$A,0)),0)</f>
        <v>0</v>
      </c>
      <c r="E254" s="1">
        <f>+C254-D254</f>
        <v>0</v>
      </c>
      <c r="H254" s="1"/>
      <c r="I254" s="1"/>
    </row>
    <row r="255" spans="1:11" s="6" customFormat="1" x14ac:dyDescent="0.25">
      <c r="B255" s="6">
        <v>461270</v>
      </c>
      <c r="C255" s="1">
        <f>IFERROR(INDEX('Balance des comptes'!$O:$O,MATCH('2026'!B255,'Balance des comptes'!$A:$A,0)),0)</f>
        <v>0</v>
      </c>
      <c r="D255" s="1">
        <f>IFERROR(INDEX('Balance des comptes'!$R:$R,MATCH('2026'!B255,'Balance des comptes'!$A:$A,0)),0)</f>
        <v>0</v>
      </c>
      <c r="E255" s="1">
        <f>+C255-D255</f>
        <v>0</v>
      </c>
      <c r="H255" s="3"/>
      <c r="I255" s="1"/>
    </row>
    <row r="256" spans="1:11" s="6" customFormat="1" x14ac:dyDescent="0.25">
      <c r="B256" s="6">
        <v>462270</v>
      </c>
      <c r="C256" s="1">
        <f>IFERROR(INDEX('Balance des comptes'!$O:$O,MATCH('2026'!B256,'Balance des comptes'!$A:$A,0)),0)</f>
        <v>0</v>
      </c>
      <c r="D256" s="1">
        <f>IFERROR(INDEX('Balance des comptes'!$R:$R,MATCH('2026'!B256,'Balance des comptes'!$A:$A,0)),0)</f>
        <v>0</v>
      </c>
      <c r="E256" s="1">
        <f>+C256-D256</f>
        <v>0</v>
      </c>
      <c r="G256" s="3"/>
      <c r="H256" s="3"/>
      <c r="I256" s="3"/>
    </row>
    <row r="257" spans="1:9" s="6" customFormat="1" x14ac:dyDescent="0.25">
      <c r="B257" s="6" t="s">
        <v>17</v>
      </c>
      <c r="C257" s="1">
        <f>SUM(C253:C256)</f>
        <v>0.37000000476837158</v>
      </c>
      <c r="D257" s="1">
        <f>SUM(D253:D256)</f>
        <v>0</v>
      </c>
      <c r="E257" s="1">
        <f>SUM(E253:E256)</f>
        <v>0.37000000476837158</v>
      </c>
      <c r="F257" s="1"/>
      <c r="I257" s="3"/>
    </row>
    <row r="258" spans="1:9" s="6" customFormat="1" x14ac:dyDescent="0.25">
      <c r="C258" s="1"/>
      <c r="D258" s="1"/>
      <c r="E258" s="1"/>
    </row>
    <row r="259" spans="1:9" s="6" customFormat="1" x14ac:dyDescent="0.25">
      <c r="A259" s="5" t="s">
        <v>145</v>
      </c>
      <c r="C259" s="6" t="s">
        <v>0</v>
      </c>
      <c r="D259" s="6" t="s">
        <v>1</v>
      </c>
      <c r="E259" s="6" t="s">
        <v>16</v>
      </c>
    </row>
    <row r="260" spans="1:9" s="6" customFormat="1" x14ac:dyDescent="0.25">
      <c r="B260" s="6">
        <v>467921</v>
      </c>
      <c r="C260" s="1">
        <f>IFERROR(INDEX('Balance des comptes'!$O:$O,MATCH('2026'!B260,'Balance des comptes'!$A:$A,0)),0)</f>
        <v>200</v>
      </c>
      <c r="D260" s="1">
        <f>IFERROR(INDEX('Balance des comptes'!$R:$R,MATCH('2026'!B260,'Balance des comptes'!$A:$A,0)),0)</f>
        <v>0</v>
      </c>
      <c r="E260" s="1">
        <f>+C260-D260</f>
        <v>200</v>
      </c>
    </row>
    <row r="261" spans="1:9" s="6" customFormat="1" x14ac:dyDescent="0.25">
      <c r="B261" s="6">
        <v>460921</v>
      </c>
      <c r="C261" s="1">
        <f>IFERROR(INDEX('Balance des comptes'!$O:$O,MATCH('2026'!B261,'Balance des comptes'!$A:$A,0)),0)</f>
        <v>0</v>
      </c>
      <c r="D261" s="1">
        <f>IFERROR(INDEX('Balance des comptes'!$R:$R,MATCH('2026'!B261,'Balance des comptes'!$A:$A,0)),0)</f>
        <v>0</v>
      </c>
      <c r="E261" s="1">
        <f>+C261-D261</f>
        <v>0</v>
      </c>
    </row>
    <row r="262" spans="1:9" s="6" customFormat="1" x14ac:dyDescent="0.25">
      <c r="B262" s="6">
        <v>461921</v>
      </c>
      <c r="C262" s="1">
        <f>IFERROR(INDEX('Balance des comptes'!$O:$O,MATCH('2026'!B262,'Balance des comptes'!$A:$A,0)),0)</f>
        <v>0</v>
      </c>
      <c r="D262" s="1">
        <f>IFERROR(INDEX('Balance des comptes'!$R:$R,MATCH('2026'!B262,'Balance des comptes'!$A:$A,0)),0)</f>
        <v>0</v>
      </c>
      <c r="E262" s="1">
        <f>+C262-D262</f>
        <v>0</v>
      </c>
    </row>
    <row r="263" spans="1:9" s="6" customFormat="1" x14ac:dyDescent="0.25">
      <c r="B263" s="6">
        <v>462921</v>
      </c>
      <c r="C263" s="1">
        <f>IFERROR(INDEX('Balance des comptes'!$O:$O,MATCH('2026'!B263,'Balance des comptes'!$A:$A,0)),0)</f>
        <v>0</v>
      </c>
      <c r="D263" s="1">
        <f>IFERROR(INDEX('Balance des comptes'!$R:$R,MATCH('2026'!B263,'Balance des comptes'!$A:$A,0)),0)</f>
        <v>0</v>
      </c>
      <c r="E263" s="1">
        <f>+C263-D263</f>
        <v>0</v>
      </c>
    </row>
    <row r="264" spans="1:9" s="6" customFormat="1" x14ac:dyDescent="0.25">
      <c r="B264" s="6" t="s">
        <v>17</v>
      </c>
      <c r="C264" s="1">
        <f>SUM(C260:C263)</f>
        <v>200</v>
      </c>
      <c r="D264" s="1">
        <f>SUM(D260:D263)</f>
        <v>0</v>
      </c>
      <c r="E264" s="1">
        <f>SUM(E260:E263)</f>
        <v>200</v>
      </c>
    </row>
    <row r="265" spans="1:9" s="6" customFormat="1" x14ac:dyDescent="0.25">
      <c r="C265" s="1"/>
      <c r="D265" s="1"/>
      <c r="E265" s="1"/>
    </row>
    <row r="266" spans="1:9" s="6" customFormat="1" x14ac:dyDescent="0.25">
      <c r="A266" s="5" t="s">
        <v>219</v>
      </c>
      <c r="C266" s="6" t="s">
        <v>0</v>
      </c>
      <c r="D266" s="6" t="s">
        <v>1</v>
      </c>
      <c r="E266" s="6" t="s">
        <v>16</v>
      </c>
    </row>
    <row r="267" spans="1:9" s="6" customFormat="1" x14ac:dyDescent="0.25">
      <c r="B267" s="6">
        <v>467222</v>
      </c>
      <c r="C267" s="1">
        <f>IFERROR(INDEX('Balance des comptes'!$O:$O,MATCH('2026'!B267,'Balance des comptes'!$A:$A,0)),0)</f>
        <v>133200</v>
      </c>
      <c r="D267" s="1">
        <f>IFERROR(INDEX('Balance des comptes'!$R:$R,MATCH('2026'!B267,'Balance des comptes'!$A:$A,0)),0)</f>
        <v>0</v>
      </c>
      <c r="E267" s="1">
        <f>+C267-D267</f>
        <v>133200</v>
      </c>
    </row>
    <row r="268" spans="1:9" s="6" customFormat="1" x14ac:dyDescent="0.25">
      <c r="B268" s="6">
        <v>460222</v>
      </c>
      <c r="C268" s="1">
        <f>IFERROR(INDEX('Balance des comptes'!$O:$O,MATCH('2026'!B268,'Balance des comptes'!$A:$A,0)),0)</f>
        <v>0</v>
      </c>
      <c r="D268" s="1">
        <f>IFERROR(INDEX('Balance des comptes'!$R:$R,MATCH('2026'!B268,'Balance des comptes'!$A:$A,0)),0)</f>
        <v>0</v>
      </c>
      <c r="E268" s="1">
        <f>+C268-D268</f>
        <v>0</v>
      </c>
    </row>
    <row r="269" spans="1:9" s="6" customFormat="1" x14ac:dyDescent="0.25">
      <c r="B269" s="6">
        <v>461222</v>
      </c>
      <c r="C269" s="1">
        <f>IFERROR(INDEX('Balance des comptes'!$O:$O,MATCH('2026'!B269,'Balance des comptes'!$A:$A,0)),0)</f>
        <v>0</v>
      </c>
      <c r="D269" s="1">
        <f>IFERROR(INDEX('Balance des comptes'!$R:$R,MATCH('2026'!B269,'Balance des comptes'!$A:$A,0)),0)</f>
        <v>0</v>
      </c>
      <c r="E269" s="1">
        <f>+C269-D269</f>
        <v>0</v>
      </c>
    </row>
    <row r="270" spans="1:9" s="6" customFormat="1" x14ac:dyDescent="0.25">
      <c r="B270" s="6">
        <v>462222</v>
      </c>
      <c r="C270" s="1">
        <f>IFERROR(INDEX('Balance des comptes'!$O:$O,MATCH('2026'!B270,'Balance des comptes'!$A:$A,0)),0)</f>
        <v>0</v>
      </c>
      <c r="D270" s="1">
        <f>IFERROR(INDEX('Balance des comptes'!$R:$R,MATCH('2026'!B270,'Balance des comptes'!$A:$A,0)),0)</f>
        <v>0</v>
      </c>
      <c r="E270" s="1">
        <f>+C270-D270</f>
        <v>0</v>
      </c>
    </row>
    <row r="271" spans="1:9" s="6" customFormat="1" x14ac:dyDescent="0.25">
      <c r="B271" s="6" t="s">
        <v>17</v>
      </c>
      <c r="C271" s="1">
        <f>SUM(C267:C270)</f>
        <v>133200</v>
      </c>
      <c r="D271" s="1">
        <f>SUM(D267:D270)</f>
        <v>0</v>
      </c>
      <c r="E271" s="1">
        <f>SUM(E267:E270)</f>
        <v>133200</v>
      </c>
    </row>
    <row r="272" spans="1:9" s="6" customFormat="1" x14ac:dyDescent="0.25">
      <c r="C272" s="1"/>
      <c r="D272" s="1"/>
      <c r="E272" s="1"/>
    </row>
    <row r="273" spans="1:11" s="6" customFormat="1" x14ac:dyDescent="0.25">
      <c r="A273" s="5" t="s">
        <v>1742</v>
      </c>
      <c r="C273" s="6" t="s">
        <v>0</v>
      </c>
      <c r="D273" s="6" t="s">
        <v>1</v>
      </c>
      <c r="E273" s="6" t="s">
        <v>16</v>
      </c>
    </row>
    <row r="274" spans="1:11" s="6" customFormat="1" x14ac:dyDescent="0.25">
      <c r="B274" s="6">
        <v>467223</v>
      </c>
      <c r="C274" s="1">
        <f>IFERROR(INDEX('Balance des comptes'!$O:$O,MATCH('2026'!B274,'Balance des comptes'!$A:$A,0)),0)</f>
        <v>0</v>
      </c>
      <c r="D274" s="1">
        <f>IFERROR(INDEX('Balance des comptes'!$R:$R,MATCH('2026'!B274,'Balance des comptes'!$A:$A,0)),0)</f>
        <v>1172731.8999999999</v>
      </c>
      <c r="E274" s="1">
        <f>+C274-D274</f>
        <v>-1172731.8999999999</v>
      </c>
    </row>
    <row r="275" spans="1:11" s="6" customFormat="1" x14ac:dyDescent="0.25">
      <c r="B275" s="6">
        <v>460223</v>
      </c>
      <c r="C275" s="1">
        <f>IFERROR(INDEX('Balance des comptes'!$O:$O,MATCH('2026'!B275,'Balance des comptes'!$A:$A,0)),0)</f>
        <v>975731.89999999991</v>
      </c>
      <c r="D275" s="1">
        <f>IFERROR(INDEX('Balance des comptes'!$R:$R,MATCH('2026'!B275,'Balance des comptes'!$A:$A,0)),0)</f>
        <v>0</v>
      </c>
      <c r="E275" s="1">
        <f>+C275-D275</f>
        <v>975731.89999999991</v>
      </c>
    </row>
    <row r="276" spans="1:11" s="6" customFormat="1" x14ac:dyDescent="0.25">
      <c r="B276" s="6">
        <v>461223</v>
      </c>
      <c r="C276" s="1">
        <f>IFERROR(INDEX('Balance des comptes'!$O:$O,MATCH('2026'!B276,'Balance des comptes'!$A:$A,0)),0)</f>
        <v>0</v>
      </c>
      <c r="D276" s="1">
        <f>IFERROR(INDEX('Balance des comptes'!$R:$R,MATCH('2026'!B276,'Balance des comptes'!$A:$A,0)),0)</f>
        <v>0</v>
      </c>
      <c r="E276" s="1">
        <f>+C276-D276</f>
        <v>0</v>
      </c>
    </row>
    <row r="277" spans="1:11" s="6" customFormat="1" x14ac:dyDescent="0.25">
      <c r="B277" s="6">
        <v>462223</v>
      </c>
      <c r="C277" s="1">
        <f>IFERROR(INDEX('Balance des comptes'!$O:$O,MATCH('2026'!B277,'Balance des comptes'!$A:$A,0)),0)</f>
        <v>0</v>
      </c>
      <c r="D277" s="1">
        <f>IFERROR(INDEX('Balance des comptes'!$R:$R,MATCH('2026'!B277,'Balance des comptes'!$A:$A,0)),0)</f>
        <v>0</v>
      </c>
      <c r="E277" s="1">
        <f>+C277-D277</f>
        <v>0</v>
      </c>
    </row>
    <row r="278" spans="1:11" s="6" customFormat="1" x14ac:dyDescent="0.25">
      <c r="B278" s="6" t="s">
        <v>17</v>
      </c>
      <c r="C278" s="1">
        <f>SUM(C274:C277)</f>
        <v>975731.89999999991</v>
      </c>
      <c r="D278" s="1">
        <f>SUM(D274:D277)</f>
        <v>1172731.8999999999</v>
      </c>
      <c r="E278" s="1">
        <f>SUM(E274:E277)</f>
        <v>-197000</v>
      </c>
    </row>
    <row r="279" spans="1:11" s="6" customFormat="1" ht="15" customHeight="1" x14ac:dyDescent="0.25">
      <c r="G279" s="3"/>
      <c r="K279" s="3"/>
    </row>
    <row r="280" spans="1:11" x14ac:dyDescent="0.25">
      <c r="A280" s="6"/>
      <c r="B280" s="6"/>
      <c r="C280" s="6"/>
      <c r="D280" s="6"/>
      <c r="E280" s="6"/>
      <c r="F280" s="1"/>
      <c r="G280" s="3"/>
      <c r="H280" s="6"/>
      <c r="I280" s="3"/>
      <c r="J280" s="6"/>
    </row>
    <row r="281" spans="1:11" s="6" customFormat="1" x14ac:dyDescent="0.25">
      <c r="A281"/>
      <c r="B281"/>
      <c r="C281"/>
      <c r="D281"/>
      <c r="E281"/>
      <c r="F281"/>
      <c r="G281"/>
      <c r="H281"/>
      <c r="I281"/>
      <c r="J281"/>
    </row>
    <row r="282" spans="1:11" s="6" customFormat="1" x14ac:dyDescent="0.25">
      <c r="A282" s="5" t="s">
        <v>7</v>
      </c>
      <c r="C282" s="5" t="s">
        <v>0</v>
      </c>
      <c r="D282" s="5" t="s">
        <v>1</v>
      </c>
      <c r="E282" s="5" t="s">
        <v>16</v>
      </c>
    </row>
    <row r="283" spans="1:11" s="6" customFormat="1" x14ac:dyDescent="0.25">
      <c r="B283" s="6">
        <v>467230</v>
      </c>
      <c r="C283" s="1">
        <f>IFERROR(INDEX('Balance des comptes'!$O:$O,MATCH('2026'!B283,'Balance des comptes'!$A:$A,0)),0)</f>
        <v>0</v>
      </c>
      <c r="D283" s="1">
        <f>IFERROR(INDEX('Balance des comptes'!$R:$R,MATCH('2026'!B283,'Balance des comptes'!$A:$A,0)),0)</f>
        <v>2182749.6399999857</v>
      </c>
      <c r="E283" s="1">
        <f>+C283-D283</f>
        <v>-2182749.6399999857</v>
      </c>
      <c r="F283" s="1"/>
    </row>
    <row r="284" spans="1:11" s="6" customFormat="1" x14ac:dyDescent="0.25">
      <c r="B284" s="6">
        <v>460230</v>
      </c>
      <c r="C284" s="1">
        <f>IFERROR(INDEX('Balance des comptes'!$O:$O,MATCH('2026'!B284,'Balance des comptes'!$A:$A,0)),0)</f>
        <v>2210000</v>
      </c>
      <c r="D284" s="1">
        <f>IFERROR(INDEX('Balance des comptes'!$R:$R,MATCH('2026'!B284,'Balance des comptes'!$A:$A,0)),0)</f>
        <v>0</v>
      </c>
      <c r="E284" s="1">
        <f>+C284-D284</f>
        <v>2210000</v>
      </c>
      <c r="F284" s="1"/>
    </row>
    <row r="285" spans="1:11" s="6" customFormat="1" x14ac:dyDescent="0.25">
      <c r="B285" s="6">
        <v>461230</v>
      </c>
      <c r="C285" s="1">
        <f>IFERROR(INDEX('Balance des comptes'!$O:$O,MATCH('2026'!B285,'Balance des comptes'!$A:$A,0)),0)</f>
        <v>0</v>
      </c>
      <c r="D285" s="1">
        <f>IFERROR(INDEX('Balance des comptes'!$R:$R,MATCH('2026'!B285,'Balance des comptes'!$A:$A,0)),0)</f>
        <v>0</v>
      </c>
      <c r="E285" s="1">
        <f>+C285-D285</f>
        <v>0</v>
      </c>
      <c r="F285" s="1"/>
    </row>
    <row r="286" spans="1:11" s="6" customFormat="1" x14ac:dyDescent="0.25">
      <c r="B286" s="6">
        <v>462230</v>
      </c>
      <c r="C286" s="1">
        <f>IFERROR(INDEX('Balance des comptes'!$O:$O,MATCH('2026'!B286,'Balance des comptes'!$A:$A,0)),0)</f>
        <v>0</v>
      </c>
      <c r="D286" s="1">
        <f>IFERROR(INDEX('Balance des comptes'!$R:$R,MATCH('2026'!B286,'Balance des comptes'!$A:$A,0)),0)</f>
        <v>0</v>
      </c>
      <c r="E286" s="1">
        <f>+C286-D286</f>
        <v>0</v>
      </c>
      <c r="G286" s="1"/>
      <c r="H286" s="3"/>
    </row>
    <row r="287" spans="1:11" s="6" customFormat="1" x14ac:dyDescent="0.25">
      <c r="B287" s="6" t="s">
        <v>17</v>
      </c>
      <c r="C287" s="1">
        <f>SUM(C283:C286)</f>
        <v>2210000</v>
      </c>
      <c r="D287" s="1">
        <f>SUM(D283:D286)</f>
        <v>2182749.6399999857</v>
      </c>
      <c r="E287" s="1">
        <f>SUM(E283:E286)</f>
        <v>27250.360000014305</v>
      </c>
      <c r="F287" s="3"/>
    </row>
    <row r="288" spans="1:11" s="6" customFormat="1" x14ac:dyDescent="0.25">
      <c r="B288" s="6">
        <v>512230</v>
      </c>
      <c r="C288" s="1">
        <f>IFERROR(INDEX('Balance des comptes'!$O:$O,MATCH('2026'!B288,'Balance des comptes'!$A:$A,0)),0)</f>
        <v>0</v>
      </c>
      <c r="D288" s="1">
        <f>IFERROR(INDEX('Balance des comptes'!$R:$R,MATCH('2026'!B288,'Balance des comptes'!$A:$A,0)),0)</f>
        <v>27250</v>
      </c>
      <c r="E288" s="1">
        <f>+C288-D288</f>
        <v>-27250</v>
      </c>
    </row>
    <row r="289" spans="1:12" s="6" customFormat="1" x14ac:dyDescent="0.25">
      <c r="B289" s="6" t="s">
        <v>18</v>
      </c>
      <c r="C289" s="1">
        <f>SUM(C288:C288)</f>
        <v>0</v>
      </c>
      <c r="D289" s="1">
        <f>SUM(D288:D288)</f>
        <v>27250</v>
      </c>
      <c r="E289" s="1">
        <f>SUM(E288:E288)</f>
        <v>-27250</v>
      </c>
    </row>
    <row r="290" spans="1:12" s="6" customFormat="1" ht="15" customHeight="1" x14ac:dyDescent="0.25"/>
    <row r="291" spans="1:12" ht="15" customHeight="1" x14ac:dyDescent="0.25">
      <c r="A291" s="6"/>
      <c r="B291" s="6" t="s">
        <v>19</v>
      </c>
      <c r="C291" s="6"/>
      <c r="D291" s="6"/>
      <c r="E291" s="12">
        <f>+E287+E289</f>
        <v>0.36000001430511475</v>
      </c>
      <c r="F291" s="10"/>
      <c r="G291" s="36"/>
      <c r="H291" s="6"/>
      <c r="I291" s="6"/>
      <c r="J291" s="6"/>
      <c r="K291" s="21"/>
      <c r="L291" s="21"/>
    </row>
    <row r="292" spans="1:12" x14ac:dyDescent="0.25">
      <c r="F292" s="18"/>
      <c r="K292" s="21"/>
      <c r="L292" s="21"/>
    </row>
    <row r="293" spans="1:12" x14ac:dyDescent="0.25">
      <c r="F293" s="18"/>
    </row>
    <row r="294" spans="1:12" s="6" customFormat="1" x14ac:dyDescent="0.25">
      <c r="A294"/>
      <c r="B294"/>
      <c r="C294"/>
      <c r="D294"/>
      <c r="E294"/>
      <c r="F294"/>
      <c r="G294"/>
      <c r="H294"/>
      <c r="I294"/>
      <c r="J294"/>
    </row>
    <row r="295" spans="1:12" s="6" customFormat="1" x14ac:dyDescent="0.25">
      <c r="A295" s="5" t="s">
        <v>6</v>
      </c>
      <c r="C295" s="5" t="s">
        <v>0</v>
      </c>
      <c r="D295" s="5" t="s">
        <v>1</v>
      </c>
      <c r="E295" s="5" t="s">
        <v>16</v>
      </c>
    </row>
    <row r="296" spans="1:12" s="6" customFormat="1" x14ac:dyDescent="0.25">
      <c r="B296" s="6">
        <v>467240</v>
      </c>
      <c r="C296" s="1">
        <f>IFERROR(INDEX('Balance des comptes'!$O:$O,MATCH('2026'!B296,'Balance des comptes'!$A:$A,0)),0)</f>
        <v>0</v>
      </c>
      <c r="D296" s="1">
        <f>IFERROR(INDEX('Balance des comptes'!$R:$R,MATCH('2026'!B296,'Balance des comptes'!$A:$A,0)),0)</f>
        <v>448082</v>
      </c>
      <c r="E296" s="1">
        <f>+C296-D296</f>
        <v>-448082</v>
      </c>
    </row>
    <row r="297" spans="1:12" s="6" customFormat="1" x14ac:dyDescent="0.25">
      <c r="B297" s="6">
        <v>460240</v>
      </c>
      <c r="C297" s="1">
        <f>IFERROR(INDEX('Balance des comptes'!$O:$O,MATCH('2026'!B297,'Balance des comptes'!$A:$A,0)),0)</f>
        <v>1520000</v>
      </c>
      <c r="D297" s="1">
        <f>IFERROR(INDEX('Balance des comptes'!$R:$R,MATCH('2026'!B297,'Balance des comptes'!$A:$A,0)),0)</f>
        <v>0</v>
      </c>
      <c r="E297" s="1">
        <f>+C297-D297</f>
        <v>1520000</v>
      </c>
    </row>
    <row r="298" spans="1:12" s="6" customFormat="1" x14ac:dyDescent="0.25">
      <c r="B298" s="6">
        <v>461240</v>
      </c>
      <c r="C298" s="1">
        <f>IFERROR(INDEX('Balance des comptes'!$O:$O,MATCH('2026'!B298,'Balance des comptes'!$A:$A,0)),0)</f>
        <v>0</v>
      </c>
      <c r="D298" s="1">
        <f>IFERROR(INDEX('Balance des comptes'!$R:$R,MATCH('2026'!B298,'Balance des comptes'!$A:$A,0)),0)</f>
        <v>0</v>
      </c>
      <c r="E298" s="1">
        <f>+C298-D298</f>
        <v>0</v>
      </c>
    </row>
    <row r="299" spans="1:12" s="6" customFormat="1" x14ac:dyDescent="0.25">
      <c r="B299" s="6">
        <v>462240</v>
      </c>
      <c r="C299" s="1">
        <f>IFERROR(INDEX('Balance des comptes'!$O:$O,MATCH('2026'!B299,'Balance des comptes'!$A:$A,0)),0)</f>
        <v>0</v>
      </c>
      <c r="D299" s="1">
        <f>IFERROR(INDEX('Balance des comptes'!$R:$R,MATCH('2026'!B299,'Balance des comptes'!$A:$A,0)),0)</f>
        <v>1070918</v>
      </c>
      <c r="E299" s="1">
        <f>+C299-D299</f>
        <v>-1070918</v>
      </c>
      <c r="G299" s="10"/>
    </row>
    <row r="300" spans="1:12" s="6" customFormat="1" x14ac:dyDescent="0.25">
      <c r="B300" s="6" t="s">
        <v>17</v>
      </c>
      <c r="C300" s="1">
        <f>SUM(C296:C299)</f>
        <v>1520000</v>
      </c>
      <c r="D300" s="1">
        <f>SUM(D296:D299)</f>
        <v>1519000</v>
      </c>
      <c r="E300" s="1">
        <f>SUM(E296:E299)</f>
        <v>1000</v>
      </c>
      <c r="G300" s="10"/>
    </row>
    <row r="301" spans="1:12" s="6" customFormat="1" x14ac:dyDescent="0.25">
      <c r="B301" s="6">
        <v>512240</v>
      </c>
      <c r="C301" s="1">
        <f>IFERROR(INDEX('Balance des comptes'!$O:$O,MATCH('2026'!B301,'Balance des comptes'!$A:$A,0)),0)</f>
        <v>88999.499999985099</v>
      </c>
      <c r="D301" s="1">
        <f>IFERROR(INDEX('Balance des comptes'!$R:$R,MATCH('2026'!B301,'Balance des comptes'!$A:$A,0)),0)</f>
        <v>0</v>
      </c>
      <c r="E301" s="1">
        <f>+C301-D301</f>
        <v>88999.499999985099</v>
      </c>
    </row>
    <row r="302" spans="1:12" s="6" customFormat="1" x14ac:dyDescent="0.25">
      <c r="C302" s="1"/>
      <c r="D302" s="1"/>
      <c r="E302" s="1"/>
      <c r="H302" s="1"/>
    </row>
    <row r="303" spans="1:12" s="6" customFormat="1" x14ac:dyDescent="0.25">
      <c r="A303" s="5" t="s">
        <v>210</v>
      </c>
      <c r="C303" s="5" t="s">
        <v>0</v>
      </c>
      <c r="D303" s="5" t="s">
        <v>1</v>
      </c>
      <c r="E303" s="5" t="s">
        <v>16</v>
      </c>
    </row>
    <row r="304" spans="1:12" s="6" customFormat="1" x14ac:dyDescent="0.25">
      <c r="B304" s="6">
        <v>467271</v>
      </c>
      <c r="C304" s="1">
        <f>IFERROR(INDEX('Balance des comptes'!$O:$O,MATCH('2026'!B304,'Balance des comptes'!$A:$A,0)),0)</f>
        <v>0</v>
      </c>
      <c r="D304" s="1">
        <f>IFERROR(INDEX('Balance des comptes'!$R:$R,MATCH('2026'!B304,'Balance des comptes'!$A:$A,0)),0)</f>
        <v>0</v>
      </c>
      <c r="E304" s="1">
        <f>+C304-D304</f>
        <v>0</v>
      </c>
      <c r="G304" s="6" t="s">
        <v>17</v>
      </c>
      <c r="H304" s="3">
        <f>E300+E308+E315</f>
        <v>1000.4999999998836</v>
      </c>
    </row>
    <row r="305" spans="1:10" s="6" customFormat="1" x14ac:dyDescent="0.25">
      <c r="B305" s="6">
        <v>460271</v>
      </c>
      <c r="C305" s="1">
        <f>IFERROR(INDEX('Balance des comptes'!$O:$O,MATCH('2026'!B305,'Balance des comptes'!$A:$A,0)),0)</f>
        <v>0.5</v>
      </c>
      <c r="D305" s="1">
        <f>IFERROR(INDEX('Balance des comptes'!$R:$R,MATCH('2026'!B305,'Balance des comptes'!$A:$A,0)),0)</f>
        <v>0</v>
      </c>
      <c r="E305" s="1">
        <f>+C305-D305</f>
        <v>0.5</v>
      </c>
      <c r="G305" s="6" t="s">
        <v>18</v>
      </c>
      <c r="H305" s="3">
        <f>E301</f>
        <v>88999.499999985099</v>
      </c>
    </row>
    <row r="306" spans="1:10" s="6" customFormat="1" x14ac:dyDescent="0.25">
      <c r="B306" s="6">
        <v>461271</v>
      </c>
      <c r="C306" s="1">
        <f>IFERROR(INDEX('Balance des comptes'!$O:$O,MATCH('2026'!B306,'Balance des comptes'!$A:$A,0)),0)</f>
        <v>0</v>
      </c>
      <c r="D306" s="1">
        <f>IFERROR(INDEX('Balance des comptes'!$R:$R,MATCH('2026'!B306,'Balance des comptes'!$A:$A,0)),0)</f>
        <v>0</v>
      </c>
      <c r="E306" s="1">
        <f>+C306-D306</f>
        <v>0</v>
      </c>
      <c r="G306" s="6" t="s">
        <v>19</v>
      </c>
      <c r="H306" s="12">
        <f>SUM(H304:H305)</f>
        <v>89999.999999984982</v>
      </c>
    </row>
    <row r="307" spans="1:10" s="6" customFormat="1" x14ac:dyDescent="0.25">
      <c r="B307" s="6">
        <v>462271</v>
      </c>
      <c r="C307" s="1">
        <f>IFERROR(INDEX('Balance des comptes'!$O:$O,MATCH('2026'!B307,'Balance des comptes'!$A:$A,0)),0)</f>
        <v>0</v>
      </c>
      <c r="D307" s="1">
        <f>IFERROR(INDEX('Balance des comptes'!$R:$R,MATCH('2026'!B307,'Balance des comptes'!$A:$A,0)),0)</f>
        <v>0</v>
      </c>
      <c r="E307" s="1">
        <f>+C307-D307</f>
        <v>0</v>
      </c>
      <c r="H307" s="1"/>
    </row>
    <row r="308" spans="1:10" s="6" customFormat="1" x14ac:dyDescent="0.25">
      <c r="B308" s="6" t="s">
        <v>17</v>
      </c>
      <c r="C308" s="1">
        <f>SUM(C304:C307)</f>
        <v>0.5</v>
      </c>
      <c r="D308" s="1">
        <f>SUM(D304:D307)</f>
        <v>0</v>
      </c>
      <c r="E308" s="1">
        <f>SUM(E304:E307)</f>
        <v>0.5</v>
      </c>
      <c r="H308" s="1"/>
    </row>
    <row r="309" spans="1:10" s="6" customFormat="1" x14ac:dyDescent="0.25">
      <c r="C309" s="1"/>
      <c r="D309" s="1"/>
      <c r="E309" s="1"/>
      <c r="G309" s="10"/>
      <c r="H309" s="1"/>
    </row>
    <row r="310" spans="1:10" s="6" customFormat="1" x14ac:dyDescent="0.25">
      <c r="A310" s="5" t="s">
        <v>220</v>
      </c>
      <c r="C310" s="5" t="s">
        <v>0</v>
      </c>
      <c r="D310" s="5" t="s">
        <v>1</v>
      </c>
      <c r="E310" s="5" t="s">
        <v>16</v>
      </c>
      <c r="G310" s="10"/>
    </row>
    <row r="311" spans="1:10" s="6" customFormat="1" x14ac:dyDescent="0.25">
      <c r="B311" s="6">
        <v>467272</v>
      </c>
      <c r="C311" s="1">
        <f>IFERROR(INDEX('Balance des comptes'!$O:$O,MATCH('2026'!B311,'Balance des comptes'!$A:$A,0)),0)</f>
        <v>0</v>
      </c>
      <c r="D311" s="1">
        <f>IFERROR(INDEX('Balance des comptes'!$R:$R,MATCH('2026'!B311,'Balance des comptes'!$A:$A,0)),0)</f>
        <v>369845.60000000009</v>
      </c>
      <c r="E311" s="1">
        <f>+C311-D311</f>
        <v>-369845.60000000009</v>
      </c>
    </row>
    <row r="312" spans="1:10" s="6" customFormat="1" x14ac:dyDescent="0.25">
      <c r="B312" s="6">
        <v>460272</v>
      </c>
      <c r="C312" s="1">
        <f>IFERROR(INDEX('Balance des comptes'!$O:$O,MATCH('2026'!B312,'Balance des comptes'!$A:$A,0)),0)</f>
        <v>369845.6</v>
      </c>
      <c r="D312" s="1">
        <f>IFERROR(INDEX('Balance des comptes'!$R:$R,MATCH('2026'!B312,'Balance des comptes'!$A:$A,0)),0)</f>
        <v>0</v>
      </c>
      <c r="E312" s="1">
        <f>+C312-D312</f>
        <v>369845.6</v>
      </c>
    </row>
    <row r="313" spans="1:10" s="6" customFormat="1" x14ac:dyDescent="0.25">
      <c r="B313" s="6">
        <v>461272</v>
      </c>
      <c r="C313" s="1">
        <f>IFERROR(INDEX('Balance des comptes'!$O:$O,MATCH('2026'!B313,'Balance des comptes'!$A:$A,0)),0)</f>
        <v>0</v>
      </c>
      <c r="D313" s="1">
        <f>IFERROR(INDEX('Balance des comptes'!$R:$R,MATCH('2026'!B313,'Balance des comptes'!$A:$A,0)),0)</f>
        <v>0</v>
      </c>
      <c r="E313" s="1">
        <f>+C313-D313</f>
        <v>0</v>
      </c>
    </row>
    <row r="314" spans="1:10" s="6" customFormat="1" x14ac:dyDescent="0.25">
      <c r="B314" s="6">
        <v>462272</v>
      </c>
      <c r="C314" s="1">
        <f>IFERROR(INDEX('Balance des comptes'!$O:$O,MATCH('2026'!B314,'Balance des comptes'!$A:$A,0)),0)</f>
        <v>0</v>
      </c>
      <c r="D314" s="1">
        <f>IFERROR(INDEX('Balance des comptes'!$R:$R,MATCH('2026'!B314,'Balance des comptes'!$A:$A,0)),0)</f>
        <v>0</v>
      </c>
      <c r="E314" s="1">
        <f>+C314-D314</f>
        <v>0</v>
      </c>
      <c r="H314" s="1"/>
    </row>
    <row r="315" spans="1:10" s="6" customFormat="1" x14ac:dyDescent="0.25">
      <c r="B315" s="6" t="s">
        <v>17</v>
      </c>
      <c r="C315" s="1">
        <f>SUM(C311:C314)</f>
        <v>369845.6</v>
      </c>
      <c r="D315" s="1">
        <f>SUM(D311:D314)</f>
        <v>369845.60000000009</v>
      </c>
      <c r="E315" s="1">
        <f>SUM(E311:E314)</f>
        <v>-1.1641532182693481E-10</v>
      </c>
      <c r="H315" s="1"/>
    </row>
    <row r="316" spans="1:10" s="6" customFormat="1" x14ac:dyDescent="0.25">
      <c r="A316"/>
      <c r="B316"/>
      <c r="C316"/>
      <c r="D316"/>
      <c r="E316"/>
      <c r="F316"/>
      <c r="G316"/>
      <c r="H316"/>
      <c r="I316"/>
      <c r="J316"/>
    </row>
    <row r="317" spans="1:10" s="6" customFormat="1" x14ac:dyDescent="0.25">
      <c r="A317" s="5" t="s">
        <v>4</v>
      </c>
      <c r="C317" s="6" t="s">
        <v>0</v>
      </c>
      <c r="D317" s="6" t="s">
        <v>1</v>
      </c>
      <c r="E317" s="6" t="s">
        <v>16</v>
      </c>
    </row>
    <row r="318" spans="1:10" s="6" customFormat="1" x14ac:dyDescent="0.25">
      <c r="B318" s="6">
        <v>467250</v>
      </c>
      <c r="C318" s="1">
        <f>IFERROR(INDEX('Balance des comptes'!$O:$O,MATCH('2026'!B318,'Balance des comptes'!$A:$A,0)),0)</f>
        <v>0</v>
      </c>
      <c r="D318" s="1">
        <f>IFERROR(INDEX('Balance des comptes'!$R:$R,MATCH('2026'!B318,'Balance des comptes'!$A:$A,0)),0)</f>
        <v>1402740.0000001192</v>
      </c>
      <c r="E318" s="1">
        <f>+C318-D318</f>
        <v>-1402740.0000001192</v>
      </c>
      <c r="G318" s="1"/>
    </row>
    <row r="319" spans="1:10" s="6" customFormat="1" x14ac:dyDescent="0.25">
      <c r="B319" s="6">
        <v>460250</v>
      </c>
      <c r="C319" s="1">
        <f>IFERROR(INDEX('Balance des comptes'!$O:$O,MATCH('2026'!B319,'Balance des comptes'!$A:$A,0)),0)</f>
        <v>1399999.9999999991</v>
      </c>
      <c r="D319" s="1">
        <f>IFERROR(INDEX('Balance des comptes'!$R:$R,MATCH('2026'!B319,'Balance des comptes'!$A:$A,0)),0)</f>
        <v>0</v>
      </c>
      <c r="E319" s="1">
        <f>+C319-D319</f>
        <v>1399999.9999999991</v>
      </c>
      <c r="F319" s="9"/>
      <c r="G319" s="10"/>
      <c r="H319" s="1"/>
    </row>
    <row r="320" spans="1:10" s="6" customFormat="1" x14ac:dyDescent="0.25">
      <c r="B320" s="6">
        <v>461250</v>
      </c>
      <c r="C320" s="1">
        <f>IFERROR(INDEX('Balance des comptes'!$O:$O,MATCH('2026'!B320,'Balance des comptes'!$A:$A,0)),0)</f>
        <v>0</v>
      </c>
      <c r="D320" s="1">
        <f>IFERROR(INDEX('Balance des comptes'!$R:$R,MATCH('2026'!B320,'Balance des comptes'!$A:$A,0)),0)</f>
        <v>0</v>
      </c>
      <c r="E320" s="1">
        <f>+C320-D320</f>
        <v>0</v>
      </c>
      <c r="H320" s="1"/>
    </row>
    <row r="321" spans="1:10" s="6" customFormat="1" x14ac:dyDescent="0.25">
      <c r="B321" s="6">
        <v>462250</v>
      </c>
      <c r="C321" s="1">
        <f>IFERROR(INDEX('Balance des comptes'!$O:$O,MATCH('2026'!B321,'Balance des comptes'!$A:$A,0)),0)</f>
        <v>0</v>
      </c>
      <c r="D321" s="1">
        <f>IFERROR(INDEX('Balance des comptes'!$R:$R,MATCH('2026'!B321,'Balance des comptes'!$A:$A,0)),0)</f>
        <v>0</v>
      </c>
      <c r="E321" s="1">
        <f>+C321-D321</f>
        <v>0</v>
      </c>
      <c r="G321" s="3"/>
      <c r="H321" s="3"/>
    </row>
    <row r="322" spans="1:10" s="6" customFormat="1" x14ac:dyDescent="0.25">
      <c r="B322" s="6" t="s">
        <v>17</v>
      </c>
      <c r="C322" s="1">
        <f>SUM(C318:C321)</f>
        <v>1399999.9999999991</v>
      </c>
      <c r="D322" s="1">
        <f>SUM(D318:D321)</f>
        <v>1402740.0000001192</v>
      </c>
      <c r="E322" s="1">
        <f>SUM(E318:E321)</f>
        <v>-2740.0000001201406</v>
      </c>
      <c r="F322" s="1"/>
    </row>
    <row r="323" spans="1:10" s="6" customFormat="1" x14ac:dyDescent="0.25">
      <c r="B323" s="6">
        <v>512250</v>
      </c>
      <c r="C323" s="1">
        <f>IFERROR(INDEX('Balance des comptes'!$O:$O,MATCH('2026'!B323,'Balance des comptes'!$A:$A,0)),0)</f>
        <v>2600</v>
      </c>
      <c r="D323" s="1">
        <f>IFERROR(INDEX('Balance des comptes'!$R:$R,MATCH('2026'!B323,'Balance des comptes'!$A:$A,0)),0)</f>
        <v>0</v>
      </c>
      <c r="E323" s="1">
        <f>+C323-D323</f>
        <v>2600</v>
      </c>
      <c r="G323" s="3"/>
    </row>
    <row r="324" spans="1:10" s="6" customFormat="1" x14ac:dyDescent="0.25">
      <c r="B324" s="6" t="s">
        <v>18</v>
      </c>
      <c r="C324" s="1">
        <f>SUM(C323:C323)</f>
        <v>2600</v>
      </c>
      <c r="D324" s="1">
        <f>SUM(D323:D323)</f>
        <v>0</v>
      </c>
      <c r="E324" s="1">
        <f>SUM(E323:E323)</f>
        <v>2600</v>
      </c>
    </row>
    <row r="325" spans="1:10" s="6" customFormat="1" ht="15" customHeight="1" x14ac:dyDescent="0.25"/>
    <row r="326" spans="1:10" x14ac:dyDescent="0.25">
      <c r="A326" s="6"/>
      <c r="B326" s="6" t="s">
        <v>19</v>
      </c>
      <c r="C326" s="6"/>
      <c r="D326" s="6"/>
      <c r="E326" s="12">
        <f>+E322+E324</f>
        <v>-140.00000012014061</v>
      </c>
      <c r="F326" s="6"/>
      <c r="G326" s="6"/>
      <c r="H326" s="6"/>
      <c r="I326" s="6"/>
      <c r="J326" s="6"/>
    </row>
    <row r="327" spans="1:10" s="6" customFormat="1" x14ac:dyDescent="0.25">
      <c r="A327"/>
      <c r="B327"/>
      <c r="C327"/>
      <c r="D327"/>
      <c r="E327"/>
      <c r="F327"/>
      <c r="G327"/>
      <c r="H327"/>
      <c r="I327"/>
      <c r="J327"/>
    </row>
    <row r="328" spans="1:10" s="6" customFormat="1" x14ac:dyDescent="0.25">
      <c r="A328" s="5" t="s">
        <v>23</v>
      </c>
      <c r="C328" s="6" t="s">
        <v>0</v>
      </c>
      <c r="D328" s="6" t="s">
        <v>1</v>
      </c>
      <c r="E328" s="6" t="s">
        <v>16</v>
      </c>
      <c r="F328" s="9"/>
    </row>
    <row r="329" spans="1:10" s="6" customFormat="1" x14ac:dyDescent="0.25">
      <c r="B329" s="6">
        <v>467260</v>
      </c>
      <c r="C329" s="1">
        <f>IFERROR(INDEX('Balance des comptes'!$O:$O,MATCH('2026'!B329,'Balance des comptes'!$A:$A,0)),0)</f>
        <v>0</v>
      </c>
      <c r="D329" s="1">
        <f>IFERROR(INDEX('Balance des comptes'!$R:$R,MATCH('2026'!B329,'Balance des comptes'!$A:$A,0)),0)</f>
        <v>1728147.0999996662</v>
      </c>
      <c r="E329" s="1">
        <f>+C329-D329</f>
        <v>-1728147.0999996662</v>
      </c>
      <c r="F329" s="9"/>
      <c r="H329" s="1"/>
    </row>
    <row r="330" spans="1:10" s="6" customFormat="1" x14ac:dyDescent="0.25">
      <c r="B330" s="6">
        <v>460260</v>
      </c>
      <c r="C330" s="1">
        <f>IFERROR(INDEX('Balance des comptes'!$O:$O,MATCH('2026'!B330,'Balance des comptes'!$A:$A,0)),0)</f>
        <v>3660000</v>
      </c>
      <c r="D330" s="1">
        <f>IFERROR(INDEX('Balance des comptes'!$R:$R,MATCH('2026'!B330,'Balance des comptes'!$A:$A,0)),0)</f>
        <v>0</v>
      </c>
      <c r="E330" s="1">
        <f>+C330-D330</f>
        <v>3660000</v>
      </c>
      <c r="F330" s="9"/>
      <c r="G330" s="10"/>
      <c r="H330" s="1"/>
    </row>
    <row r="331" spans="1:10" s="6" customFormat="1" x14ac:dyDescent="0.25">
      <c r="B331" s="6">
        <v>461260</v>
      </c>
      <c r="C331" s="1">
        <f>IFERROR(INDEX('Balance des comptes'!$O:$O,MATCH('2026'!B331,'Balance des comptes'!$A:$A,0)),0)</f>
        <v>0</v>
      </c>
      <c r="D331" s="1">
        <f>IFERROR(INDEX('Balance des comptes'!$R:$R,MATCH('2026'!B331,'Balance des comptes'!$A:$A,0)),0)</f>
        <v>0</v>
      </c>
      <c r="E331" s="1">
        <f>+C331-D331</f>
        <v>0</v>
      </c>
      <c r="F331" s="9"/>
      <c r="H331" s="1"/>
    </row>
    <row r="332" spans="1:10" s="6" customFormat="1" x14ac:dyDescent="0.25">
      <c r="B332" s="6">
        <v>462260</v>
      </c>
      <c r="C332" s="1">
        <f>IFERROR(INDEX('Balance des comptes'!$O:$O,MATCH('2026'!B332,'Balance des comptes'!$A:$A,0)),0)</f>
        <v>0</v>
      </c>
      <c r="D332" s="1">
        <f>IFERROR(INDEX('Balance des comptes'!$R:$R,MATCH('2026'!B332,'Balance des comptes'!$A:$A,0)),0)</f>
        <v>128850</v>
      </c>
      <c r="E332" s="1">
        <f>+C332-D332</f>
        <v>-128850</v>
      </c>
      <c r="H332" s="1"/>
    </row>
    <row r="333" spans="1:10" s="6" customFormat="1" x14ac:dyDescent="0.25">
      <c r="B333" s="6" t="s">
        <v>17</v>
      </c>
      <c r="C333" s="1">
        <f>SUM(C329:C332)</f>
        <v>3660000</v>
      </c>
      <c r="D333" s="1">
        <f>SUM(D329:D332)</f>
        <v>1856997.0999996662</v>
      </c>
      <c r="E333" s="1">
        <f>SUM(E329:E332)</f>
        <v>1803002.9000003338</v>
      </c>
      <c r="G333" s="6" t="s">
        <v>17</v>
      </c>
      <c r="H333" s="3">
        <f>+E333+E343</f>
        <v>32116.900000330992</v>
      </c>
    </row>
    <row r="334" spans="1:10" s="6" customFormat="1" x14ac:dyDescent="0.25">
      <c r="B334" s="6">
        <v>512260</v>
      </c>
      <c r="C334" s="1">
        <f>IFERROR(INDEX('Balance des comptes'!$O:$O,MATCH('2026'!B334,'Balance des comptes'!$A:$A,0)),0)</f>
        <v>0</v>
      </c>
      <c r="D334" s="1">
        <f>IFERROR(INDEX('Balance des comptes'!$R:$R,MATCH('2026'!B334,'Balance des comptes'!$A:$A,0)),0)</f>
        <v>32116.90000000596</v>
      </c>
      <c r="E334" s="1">
        <f>+C334-D334</f>
        <v>-32116.90000000596</v>
      </c>
      <c r="G334" s="6" t="s">
        <v>18</v>
      </c>
      <c r="H334" s="3">
        <f>E335</f>
        <v>-32116.90000000596</v>
      </c>
    </row>
    <row r="335" spans="1:10" s="6" customFormat="1" x14ac:dyDescent="0.25">
      <c r="B335" s="6" t="s">
        <v>18</v>
      </c>
      <c r="C335" s="1">
        <f>SUM(C334:C334)</f>
        <v>0</v>
      </c>
      <c r="D335" s="1">
        <f>SUM(D334:D334)</f>
        <v>32116.90000000596</v>
      </c>
      <c r="E335" s="1">
        <f>SUM(E334:E334)</f>
        <v>-32116.90000000596</v>
      </c>
      <c r="G335" s="6" t="s">
        <v>19</v>
      </c>
      <c r="H335" s="12">
        <f>SUM(H333:H334)</f>
        <v>3.25031578540802E-7</v>
      </c>
    </row>
    <row r="336" spans="1:10" s="6" customFormat="1" x14ac:dyDescent="0.25"/>
    <row r="337" spans="1:10" x14ac:dyDescent="0.25">
      <c r="A337" s="6"/>
      <c r="B337" s="6" t="s">
        <v>19</v>
      </c>
      <c r="C337" s="6"/>
      <c r="D337" s="6"/>
      <c r="E337" s="3"/>
      <c r="F337" s="6"/>
      <c r="G337" s="6"/>
      <c r="H337" s="10"/>
      <c r="I337" s="6"/>
      <c r="J337" s="6"/>
    </row>
    <row r="338" spans="1:10" s="6" customFormat="1" x14ac:dyDescent="0.25">
      <c r="A338" s="5" t="s">
        <v>209</v>
      </c>
      <c r="C338" s="6" t="s">
        <v>0</v>
      </c>
      <c r="D338" s="6" t="s">
        <v>1</v>
      </c>
      <c r="E338" s="6" t="s">
        <v>16</v>
      </c>
      <c r="F338" s="9"/>
    </row>
    <row r="339" spans="1:10" s="6" customFormat="1" x14ac:dyDescent="0.25">
      <c r="B339" s="6">
        <v>467262</v>
      </c>
      <c r="C339" s="1">
        <f>IFERROR(INDEX('Balance des comptes'!$O:$O,MATCH('2026'!B339,'Balance des comptes'!$A:$A,0)),0)</f>
        <v>0</v>
      </c>
      <c r="D339" s="1">
        <f>IFERROR(INDEX('Balance des comptes'!$R:$R,MATCH('2026'!B339,'Balance des comptes'!$A:$A,0)),0)</f>
        <v>4590643.0600000024</v>
      </c>
      <c r="E339" s="1">
        <f>+C339-D339</f>
        <v>-4590643.0600000024</v>
      </c>
      <c r="F339" s="9"/>
      <c r="H339" s="1"/>
    </row>
    <row r="340" spans="1:10" s="6" customFormat="1" x14ac:dyDescent="0.25">
      <c r="B340" s="6">
        <v>460262</v>
      </c>
      <c r="C340" s="1">
        <f>IFERROR(INDEX('Balance des comptes'!$O:$O,MATCH('2026'!B340,'Balance des comptes'!$A:$A,0)),0)</f>
        <v>2819757.0599999996</v>
      </c>
      <c r="D340" s="1">
        <f>IFERROR(INDEX('Balance des comptes'!$R:$R,MATCH('2026'!B340,'Balance des comptes'!$A:$A,0)),0)</f>
        <v>0</v>
      </c>
      <c r="E340" s="1">
        <f>+C340-D340</f>
        <v>2819757.0599999996</v>
      </c>
      <c r="F340" s="9"/>
      <c r="H340" s="1"/>
    </row>
    <row r="341" spans="1:10" s="6" customFormat="1" x14ac:dyDescent="0.25">
      <c r="B341" s="6">
        <v>461262</v>
      </c>
      <c r="C341" s="1">
        <f>IFERROR(INDEX('Balance des comptes'!$O:$O,MATCH('2026'!B341,'Balance des comptes'!$A:$A,0)),0)</f>
        <v>0</v>
      </c>
      <c r="D341" s="1">
        <f>IFERROR(INDEX('Balance des comptes'!$R:$R,MATCH('2026'!B341,'Balance des comptes'!$A:$A,0)),0)</f>
        <v>0</v>
      </c>
      <c r="E341" s="1">
        <f>+C341-D341</f>
        <v>0</v>
      </c>
      <c r="F341" s="9"/>
      <c r="H341" s="1"/>
    </row>
    <row r="342" spans="1:10" s="6" customFormat="1" x14ac:dyDescent="0.25">
      <c r="B342" s="6">
        <v>462262</v>
      </c>
      <c r="C342" s="1">
        <f>IFERROR(INDEX('Balance des comptes'!$O:$O,MATCH('2026'!B342,'Balance des comptes'!$A:$A,0)),0)</f>
        <v>0</v>
      </c>
      <c r="D342" s="1">
        <f>IFERROR(INDEX('Balance des comptes'!$R:$R,MATCH('2026'!B342,'Balance des comptes'!$A:$A,0)),0)</f>
        <v>0</v>
      </c>
      <c r="E342" s="1">
        <f>+C342-D342</f>
        <v>0</v>
      </c>
      <c r="H342" s="1"/>
    </row>
    <row r="343" spans="1:10" s="6" customFormat="1" x14ac:dyDescent="0.25">
      <c r="B343" s="6" t="s">
        <v>17</v>
      </c>
      <c r="C343" s="1">
        <f>SUM(C339:C342)</f>
        <v>2819757.0599999996</v>
      </c>
      <c r="D343" s="1">
        <f>SUM(D339:D342)</f>
        <v>4590643.0600000024</v>
      </c>
      <c r="E343" s="1">
        <f>SUM(E339:E342)</f>
        <v>-1770886.0000000028</v>
      </c>
      <c r="H343" s="3"/>
    </row>
    <row r="344" spans="1:10" s="6" customFormat="1" x14ac:dyDescent="0.25">
      <c r="A344"/>
      <c r="B344" s="18"/>
      <c r="C344"/>
      <c r="D344"/>
      <c r="E344" s="18"/>
      <c r="F344"/>
      <c r="G344"/>
      <c r="H344"/>
      <c r="I344" s="2"/>
      <c r="J344"/>
    </row>
    <row r="345" spans="1:10" s="6" customFormat="1" x14ac:dyDescent="0.25">
      <c r="A345" s="5" t="s">
        <v>139</v>
      </c>
      <c r="C345" s="6" t="s">
        <v>0</v>
      </c>
      <c r="D345" s="6" t="s">
        <v>1</v>
      </c>
      <c r="E345" s="6" t="s">
        <v>16</v>
      </c>
    </row>
    <row r="346" spans="1:10" s="6" customFormat="1" x14ac:dyDescent="0.25">
      <c r="B346" s="6">
        <v>467320</v>
      </c>
      <c r="C346" s="1">
        <f>IFERROR(INDEX('Balance des comptes'!$O:$O,MATCH('2026'!B346,'Balance des comptes'!$A:$A,0)),0)</f>
        <v>0</v>
      </c>
      <c r="D346" s="1">
        <f>IFERROR(INDEX('Balance des comptes'!$R:$R,MATCH('2026'!B346,'Balance des comptes'!$A:$A,0)),0)</f>
        <v>36196706.25</v>
      </c>
      <c r="E346" s="1">
        <f>+C346-D346</f>
        <v>-36196706.25</v>
      </c>
    </row>
    <row r="347" spans="1:10" s="6" customFormat="1" x14ac:dyDescent="0.25">
      <c r="B347" s="6">
        <v>460320</v>
      </c>
      <c r="C347" s="1">
        <f>IFERROR(INDEX('Balance des comptes'!$O:$O,MATCH('2026'!B347,'Balance des comptes'!$A:$A,0)),0)</f>
        <v>0</v>
      </c>
      <c r="D347" s="1">
        <f>IFERROR(INDEX('Balance des comptes'!$R:$R,MATCH('2026'!B347,'Balance des comptes'!$A:$A,0)),0)</f>
        <v>0</v>
      </c>
      <c r="E347" s="1">
        <f>+C347-D347</f>
        <v>0</v>
      </c>
    </row>
    <row r="348" spans="1:10" s="6" customFormat="1" x14ac:dyDescent="0.25">
      <c r="B348" s="6">
        <v>461320</v>
      </c>
      <c r="C348" s="1">
        <f>IFERROR(INDEX('Balance des comptes'!$O:$O,MATCH('2026'!B348,'Balance des comptes'!$A:$A,0)),0)</f>
        <v>0</v>
      </c>
      <c r="D348" s="1">
        <f>IFERROR(INDEX('Balance des comptes'!$R:$R,MATCH('2026'!B348,'Balance des comptes'!$A:$A,0)),0)</f>
        <v>0</v>
      </c>
      <c r="E348" s="1">
        <f>+C348-D348</f>
        <v>0</v>
      </c>
      <c r="G348" s="10"/>
    </row>
    <row r="349" spans="1:10" s="6" customFormat="1" x14ac:dyDescent="0.25">
      <c r="B349" s="6">
        <v>462320</v>
      </c>
      <c r="C349" s="1">
        <f>IFERROR(INDEX('Balance des comptes'!$O:$O,MATCH('2026'!B349,'Balance des comptes'!$A:$A,0)),0)</f>
        <v>0</v>
      </c>
      <c r="D349" s="1">
        <f>IFERROR(INDEX('Balance des comptes'!$R:$R,MATCH('2026'!B349,'Balance des comptes'!$A:$A,0)),0)</f>
        <v>0</v>
      </c>
      <c r="E349" s="1">
        <f>+C349-D349</f>
        <v>0</v>
      </c>
      <c r="G349" s="10"/>
    </row>
    <row r="350" spans="1:10" s="6" customFormat="1" x14ac:dyDescent="0.25">
      <c r="B350" s="6" t="s">
        <v>17</v>
      </c>
      <c r="C350" s="1">
        <f>SUM(C346:C349)</f>
        <v>0</v>
      </c>
      <c r="D350" s="1">
        <f>SUM(D346:D349)</f>
        <v>36196706.25</v>
      </c>
      <c r="E350" s="1">
        <f>SUM(E346:E349)</f>
        <v>-36196706.25</v>
      </c>
      <c r="G350" s="10"/>
    </row>
    <row r="351" spans="1:10" s="6" customFormat="1" x14ac:dyDescent="0.25">
      <c r="B351" s="6">
        <v>512320</v>
      </c>
      <c r="C351" s="1">
        <f>IFERROR(INDEX('Balance des comptes'!$O:$O,MATCH('2026'!B351,'Balance des comptes'!$A:$A,0)),0)</f>
        <v>39375698.939999998</v>
      </c>
      <c r="D351" s="1">
        <f>IFERROR(INDEX('Balance des comptes'!$R:$R,MATCH('2026'!B351,'Balance des comptes'!$A:$A,0)),0)</f>
        <v>0</v>
      </c>
      <c r="E351" s="1">
        <f>+C351-D351</f>
        <v>39375698.939999998</v>
      </c>
      <c r="F351" s="9"/>
    </row>
    <row r="352" spans="1:10" s="6" customFormat="1" x14ac:dyDescent="0.25">
      <c r="B352" s="6" t="s">
        <v>18</v>
      </c>
      <c r="C352" s="1">
        <f>SUM(C351:C351)</f>
        <v>39375698.939999998</v>
      </c>
      <c r="D352" s="1">
        <f>SUM(D351:D351)</f>
        <v>0</v>
      </c>
      <c r="E352" s="1">
        <f>SUM(E351:E351)-E348</f>
        <v>39375698.939999998</v>
      </c>
    </row>
    <row r="353" spans="1:14" s="6" customFormat="1" x14ac:dyDescent="0.25"/>
    <row r="354" spans="1:14" s="6" customFormat="1" x14ac:dyDescent="0.25">
      <c r="B354" s="6" t="s">
        <v>19</v>
      </c>
      <c r="E354" s="3">
        <f>+E350+E352</f>
        <v>3178992.6899999976</v>
      </c>
      <c r="F354" s="3"/>
    </row>
    <row r="355" spans="1:14" s="6" customFormat="1" x14ac:dyDescent="0.25"/>
    <row r="356" spans="1:14" s="6" customFormat="1" x14ac:dyDescent="0.25">
      <c r="A356" s="5" t="s">
        <v>138</v>
      </c>
      <c r="C356" s="6" t="s">
        <v>0</v>
      </c>
      <c r="D356" s="6" t="s">
        <v>1</v>
      </c>
      <c r="E356" s="6" t="s">
        <v>16</v>
      </c>
      <c r="G356" s="6" t="s">
        <v>17</v>
      </c>
      <c r="H356" s="3">
        <f>+E350+E361+E368</f>
        <v>-38879405.73999995</v>
      </c>
    </row>
    <row r="357" spans="1:14" s="6" customFormat="1" x14ac:dyDescent="0.25">
      <c r="B357" s="6">
        <v>467321</v>
      </c>
      <c r="C357" s="1">
        <f>IFERROR(INDEX('Balance des comptes'!$O:$O,MATCH('2026'!B357,'Balance des comptes'!$A:$A,0)),0)</f>
        <v>0</v>
      </c>
      <c r="D357" s="1">
        <f>IFERROR(INDEX('Balance des comptes'!$R:$R,MATCH('2026'!B357,'Balance des comptes'!$A:$A,0)),0)</f>
        <v>3845591.7799999714</v>
      </c>
      <c r="E357" s="1">
        <f>+C357-D357</f>
        <v>-3845591.7799999714</v>
      </c>
      <c r="G357" s="6" t="s">
        <v>18</v>
      </c>
      <c r="H357" s="3">
        <f>+E352</f>
        <v>39375698.939999998</v>
      </c>
    </row>
    <row r="358" spans="1:14" s="6" customFormat="1" x14ac:dyDescent="0.25">
      <c r="B358" s="6">
        <v>460321</v>
      </c>
      <c r="C358" s="1">
        <f>IFERROR(INDEX('Balance des comptes'!$O:$O,MATCH('2026'!B358,'Balance des comptes'!$A:$A,0)),0)</f>
        <v>0</v>
      </c>
      <c r="D358" s="1">
        <f>IFERROR(INDEX('Balance des comptes'!$R:$R,MATCH('2026'!B358,'Balance des comptes'!$A:$A,0)),0)</f>
        <v>0</v>
      </c>
      <c r="E358" s="1">
        <f>+C358-D358</f>
        <v>0</v>
      </c>
      <c r="G358" s="6" t="s">
        <v>19</v>
      </c>
      <c r="H358" s="12">
        <f>SUM(H356:H357)</f>
        <v>496293.20000004768</v>
      </c>
    </row>
    <row r="359" spans="1:14" s="6" customFormat="1" x14ac:dyDescent="0.25">
      <c r="B359" s="6">
        <v>461321</v>
      </c>
      <c r="C359" s="1">
        <f>IFERROR(INDEX('Balance des comptes'!$O:$O,MATCH('2026'!B359,'Balance des comptes'!$A:$A,0)),0)</f>
        <v>0</v>
      </c>
      <c r="D359" s="1">
        <f>IFERROR(INDEX('Balance des comptes'!$R:$R,MATCH('2026'!B359,'Balance des comptes'!$A:$A,0)),0)</f>
        <v>0</v>
      </c>
      <c r="E359" s="1">
        <f>+C359-D359</f>
        <v>0</v>
      </c>
      <c r="G359" s="8"/>
    </row>
    <row r="360" spans="1:14" s="6" customFormat="1" x14ac:dyDescent="0.25">
      <c r="B360" s="6">
        <v>462321</v>
      </c>
      <c r="C360" s="1">
        <f>IFERROR(INDEX('Balance des comptes'!$O:$O,MATCH('2026'!B360,'Balance des comptes'!$A:$A,0)),0)</f>
        <v>0</v>
      </c>
      <c r="D360" s="1">
        <f>IFERROR(INDEX('Balance des comptes'!$R:$R,MATCH('2026'!B360,'Balance des comptes'!$A:$A,0)),0)</f>
        <v>912840</v>
      </c>
      <c r="E360" s="1">
        <f>+C360-D360</f>
        <v>-912840</v>
      </c>
      <c r="H360" s="3"/>
    </row>
    <row r="361" spans="1:14" s="6" customFormat="1" x14ac:dyDescent="0.25">
      <c r="B361" s="6" t="s">
        <v>17</v>
      </c>
      <c r="C361" s="1">
        <f>SUM(C357:C360)</f>
        <v>0</v>
      </c>
      <c r="D361" s="1">
        <f>SUM(D357:D360)</f>
        <v>4758431.7799999714</v>
      </c>
      <c r="E361" s="1">
        <f>SUM(E357:E360)</f>
        <v>-4758431.7799999714</v>
      </c>
      <c r="G361" s="1"/>
      <c r="H361" s="1"/>
      <c r="J361" s="13"/>
    </row>
    <row r="362" spans="1:14" s="6" customFormat="1" x14ac:dyDescent="0.25">
      <c r="C362" s="1"/>
      <c r="D362" s="1"/>
      <c r="E362" s="1"/>
      <c r="G362" s="1"/>
      <c r="H362" s="1"/>
      <c r="J362" s="13"/>
    </row>
    <row r="363" spans="1:14" s="6" customFormat="1" x14ac:dyDescent="0.25">
      <c r="A363" s="5" t="s">
        <v>31</v>
      </c>
      <c r="C363" s="6" t="s">
        <v>0</v>
      </c>
      <c r="D363" s="6" t="s">
        <v>1</v>
      </c>
      <c r="E363" s="6" t="s">
        <v>16</v>
      </c>
      <c r="K363" s="3"/>
    </row>
    <row r="364" spans="1:14" s="6" customFormat="1" x14ac:dyDescent="0.25">
      <c r="B364" s="6">
        <v>467322</v>
      </c>
      <c r="C364" s="1">
        <f>IFERROR(INDEX('Balance des comptes'!$O:$O,MATCH('2026'!B364,'Balance des comptes'!$A:$A,0)),0)</f>
        <v>2109052.2900000215</v>
      </c>
      <c r="D364" s="1">
        <f>IFERROR(INDEX('Balance des comptes'!$R:$R,MATCH('2026'!B364,'Balance des comptes'!$A:$A,0)),0)</f>
        <v>0</v>
      </c>
      <c r="E364" s="1">
        <f>+C364-D364</f>
        <v>2109052.2900000215</v>
      </c>
      <c r="M364" s="1"/>
      <c r="N364" s="1"/>
    </row>
    <row r="365" spans="1:14" s="6" customFormat="1" x14ac:dyDescent="0.25">
      <c r="B365" s="6">
        <v>460322</v>
      </c>
      <c r="C365" s="1">
        <f>IFERROR(INDEX('Balance des comptes'!$O:$O,MATCH('2026'!B365,'Balance des comptes'!$A:$A,0)),0)</f>
        <v>0</v>
      </c>
      <c r="D365" s="1">
        <f>IFERROR(INDEX('Balance des comptes'!$R:$R,MATCH('2026'!B365,'Balance des comptes'!$A:$A,0)),0)</f>
        <v>0</v>
      </c>
      <c r="E365" s="1">
        <f>+C365-D365</f>
        <v>0</v>
      </c>
      <c r="G365" s="13"/>
      <c r="M365" s="1"/>
      <c r="N365" s="1"/>
    </row>
    <row r="366" spans="1:14" s="6" customFormat="1" x14ac:dyDescent="0.25">
      <c r="B366" s="6">
        <v>461322</v>
      </c>
      <c r="C366" s="1">
        <f>IFERROR(INDEX('Balance des comptes'!$O:$O,MATCH('2026'!B366,'Balance des comptes'!$A:$A,0)),0)</f>
        <v>0</v>
      </c>
      <c r="D366" s="1">
        <f>IFERROR(INDEX('Balance des comptes'!$R:$R,MATCH('2026'!B366,'Balance des comptes'!$A:$A,0)),0)</f>
        <v>0</v>
      </c>
      <c r="E366" s="1">
        <f>+C366-D366</f>
        <v>0</v>
      </c>
      <c r="G366" s="13"/>
      <c r="J366" s="13"/>
      <c r="M366" s="1"/>
      <c r="N366" s="1"/>
    </row>
    <row r="367" spans="1:14" s="6" customFormat="1" x14ac:dyDescent="0.25">
      <c r="B367" s="6">
        <v>462322</v>
      </c>
      <c r="C367" s="1">
        <f>IFERROR(INDEX('Balance des comptes'!$O:$O,MATCH('2026'!B367,'Balance des comptes'!$A:$A,0)),0)</f>
        <v>0</v>
      </c>
      <c r="D367" s="1">
        <f>IFERROR(INDEX('Balance des comptes'!$R:$R,MATCH('2026'!B367,'Balance des comptes'!$A:$A,0)),0)</f>
        <v>33320</v>
      </c>
      <c r="E367" s="1">
        <f>+C367-D367</f>
        <v>-33320</v>
      </c>
      <c r="J367" s="13"/>
    </row>
    <row r="368" spans="1:14" s="6" customFormat="1" x14ac:dyDescent="0.25">
      <c r="B368" s="6" t="s">
        <v>17</v>
      </c>
      <c r="C368" s="1">
        <f>SUM(C364:C367)</f>
        <v>2109052.2900000215</v>
      </c>
      <c r="D368" s="1">
        <f>SUM(D364:D367)</f>
        <v>33320</v>
      </c>
      <c r="E368" s="1">
        <f>SUM(E364:E367)</f>
        <v>2075732.2900000215</v>
      </c>
      <c r="G368" s="1"/>
    </row>
    <row r="371" spans="1:10" s="6" customFormat="1" x14ac:dyDescent="0.25">
      <c r="A371"/>
      <c r="B371"/>
      <c r="C371"/>
      <c r="D371"/>
      <c r="E371"/>
      <c r="F371"/>
      <c r="G371"/>
      <c r="H371"/>
      <c r="I371"/>
      <c r="J371"/>
    </row>
    <row r="372" spans="1:10" s="6" customFormat="1" x14ac:dyDescent="0.25">
      <c r="A372" s="5" t="s">
        <v>12</v>
      </c>
      <c r="C372" s="6" t="s">
        <v>0</v>
      </c>
      <c r="D372" s="6" t="s">
        <v>1</v>
      </c>
      <c r="E372" s="6" t="s">
        <v>16</v>
      </c>
    </row>
    <row r="373" spans="1:10" s="6" customFormat="1" x14ac:dyDescent="0.25">
      <c r="B373" s="6">
        <v>467330</v>
      </c>
      <c r="C373" s="1">
        <f>IFERROR(INDEX('Balance des comptes'!$O:$O,MATCH('2026'!B373,'Balance des comptes'!$A:$A,0)),0)</f>
        <v>0</v>
      </c>
      <c r="D373" s="1">
        <f>IFERROR(INDEX('Balance des comptes'!$R:$R,MATCH('2026'!B373,'Balance des comptes'!$A:$A,0)),0)</f>
        <v>16115155.069999993</v>
      </c>
      <c r="E373" s="1">
        <f>+C373-D373</f>
        <v>-16115155.069999993</v>
      </c>
    </row>
    <row r="374" spans="1:10" s="6" customFormat="1" x14ac:dyDescent="0.25">
      <c r="B374" s="6">
        <v>460330</v>
      </c>
      <c r="C374" s="1">
        <f>IFERROR(INDEX('Balance des comptes'!$O:$O,MATCH('2026'!B374,'Balance des comptes'!$A:$A,0)),0)</f>
        <v>0</v>
      </c>
      <c r="D374" s="1">
        <f>IFERROR(INDEX('Balance des comptes'!$R:$R,MATCH('2026'!B374,'Balance des comptes'!$A:$A,0)),0)</f>
        <v>0</v>
      </c>
      <c r="E374" s="1">
        <f>+C374-D374</f>
        <v>0</v>
      </c>
    </row>
    <row r="375" spans="1:10" s="6" customFormat="1" x14ac:dyDescent="0.25">
      <c r="B375" s="6">
        <v>461330</v>
      </c>
      <c r="C375" s="1">
        <f>IFERROR(INDEX('Balance des comptes'!$O:$O,MATCH('2026'!B375,'Balance des comptes'!$A:$A,0)),0)</f>
        <v>0</v>
      </c>
      <c r="D375" s="1">
        <f>IFERROR(INDEX('Balance des comptes'!$R:$R,MATCH('2026'!B375,'Balance des comptes'!$A:$A,0)),0)</f>
        <v>0</v>
      </c>
      <c r="E375" s="1">
        <f>+C375-D375</f>
        <v>0</v>
      </c>
      <c r="G375" s="6" t="s">
        <v>17</v>
      </c>
      <c r="H375" s="3">
        <f>+E377+E389</f>
        <v>-45926525.069999993</v>
      </c>
    </row>
    <row r="376" spans="1:10" s="6" customFormat="1" x14ac:dyDescent="0.25">
      <c r="B376" s="6">
        <v>462330</v>
      </c>
      <c r="C376" s="1">
        <f>IFERROR(INDEX('Balance des comptes'!$O:$O,MATCH('2026'!B376,'Balance des comptes'!$A:$A,0)),0)</f>
        <v>0</v>
      </c>
      <c r="D376" s="1">
        <f>IFERROR(INDEX('Balance des comptes'!$R:$R,MATCH('2026'!B376,'Balance des comptes'!$A:$A,0)),0)</f>
        <v>265350</v>
      </c>
      <c r="E376" s="1">
        <f>+C376-D376</f>
        <v>-265350</v>
      </c>
      <c r="G376" s="6" t="s">
        <v>18</v>
      </c>
      <c r="H376" s="3">
        <f>+E379</f>
        <v>45926525.069999993</v>
      </c>
    </row>
    <row r="377" spans="1:10" s="6" customFormat="1" x14ac:dyDescent="0.25">
      <c r="B377" s="6" t="s">
        <v>17</v>
      </c>
      <c r="C377" s="1">
        <f>SUM(C373:C376)</f>
        <v>0</v>
      </c>
      <c r="D377" s="1">
        <f>SUM(D373:D376)</f>
        <v>16380505.069999993</v>
      </c>
      <c r="E377" s="1">
        <f>SUM(E373:E376)</f>
        <v>-16380505.069999993</v>
      </c>
      <c r="F377" s="1"/>
      <c r="G377" s="6" t="s">
        <v>19</v>
      </c>
      <c r="H377" s="12">
        <f>SUM(H375:H376)</f>
        <v>0</v>
      </c>
    </row>
    <row r="378" spans="1:10" s="6" customFormat="1" x14ac:dyDescent="0.25">
      <c r="B378" s="6">
        <v>512330</v>
      </c>
      <c r="C378" s="1">
        <f>IFERROR(INDEX('Balance des comptes'!$O:$O,MATCH('2026'!B378,'Balance des comptes'!$A:$A,0)),0)</f>
        <v>45926525.069999993</v>
      </c>
      <c r="D378" s="1">
        <f>IFERROR(INDEX('Balance des comptes'!$R:$R,MATCH('2026'!B378,'Balance des comptes'!$A:$A,0)),0)</f>
        <v>0</v>
      </c>
      <c r="E378" s="1">
        <f>+C378-D378</f>
        <v>45926525.069999993</v>
      </c>
    </row>
    <row r="379" spans="1:10" s="6" customFormat="1" x14ac:dyDescent="0.25">
      <c r="B379" s="6" t="s">
        <v>18</v>
      </c>
      <c r="C379" s="1">
        <f>SUM(C378:C378)</f>
        <v>45926525.069999993</v>
      </c>
      <c r="D379" s="1">
        <f>SUM(D378:D378)</f>
        <v>0</v>
      </c>
      <c r="E379" s="1">
        <f>SUM(E378:E378)</f>
        <v>45926525.069999993</v>
      </c>
    </row>
    <row r="380" spans="1:10" s="6" customFormat="1" x14ac:dyDescent="0.25"/>
    <row r="381" spans="1:10" s="6" customFormat="1" x14ac:dyDescent="0.25">
      <c r="B381" s="6" t="s">
        <v>19</v>
      </c>
      <c r="E381" s="3">
        <f>+E377+E379</f>
        <v>29546020</v>
      </c>
    </row>
    <row r="382" spans="1:10" s="6" customFormat="1" x14ac:dyDescent="0.25">
      <c r="E382" s="3"/>
    </row>
    <row r="383" spans="1:10" s="6" customFormat="1" x14ac:dyDescent="0.25"/>
    <row r="384" spans="1:10" s="6" customFormat="1" x14ac:dyDescent="0.25">
      <c r="A384" s="5" t="s">
        <v>30</v>
      </c>
      <c r="C384" s="6" t="s">
        <v>0</v>
      </c>
      <c r="D384" s="6" t="s">
        <v>1</v>
      </c>
      <c r="E384" s="6" t="s">
        <v>16</v>
      </c>
    </row>
    <row r="385" spans="1:10" s="6" customFormat="1" x14ac:dyDescent="0.25">
      <c r="B385" s="6">
        <v>467331</v>
      </c>
      <c r="C385" s="1">
        <f>IFERROR(INDEX('Balance des comptes'!$O:$O,MATCH('2026'!B385,'Balance des comptes'!$A:$A,0)),0)</f>
        <v>0</v>
      </c>
      <c r="D385" s="1">
        <f>IFERROR(INDEX('Balance des comptes'!$R:$R,MATCH('2026'!B385,'Balance des comptes'!$A:$A,0)),0)</f>
        <v>29546020</v>
      </c>
      <c r="E385" s="1">
        <f>+C385-D385</f>
        <v>-29546020</v>
      </c>
      <c r="F385" s="3"/>
    </row>
    <row r="386" spans="1:10" s="6" customFormat="1" x14ac:dyDescent="0.25">
      <c r="B386" s="6">
        <v>460331</v>
      </c>
      <c r="C386" s="1">
        <f>IFERROR(INDEX('Balance des comptes'!$O:$O,MATCH('2026'!B386,'Balance des comptes'!$A:$A,0)),0)</f>
        <v>0</v>
      </c>
      <c r="D386" s="1">
        <f>IFERROR(INDEX('Balance des comptes'!$R:$R,MATCH('2026'!B386,'Balance des comptes'!$A:$A,0)),0)</f>
        <v>0</v>
      </c>
      <c r="E386" s="1">
        <f>+C386-D386</f>
        <v>0</v>
      </c>
      <c r="H386" s="1"/>
    </row>
    <row r="387" spans="1:10" s="6" customFormat="1" x14ac:dyDescent="0.25">
      <c r="B387" s="6">
        <v>461331</v>
      </c>
      <c r="C387" s="1">
        <f>IFERROR(INDEX('Balance des comptes'!$O:$O,MATCH('2026'!B387,'Balance des comptes'!$A:$A,0)),0)</f>
        <v>0</v>
      </c>
      <c r="D387" s="1">
        <f>IFERROR(INDEX('Balance des comptes'!$R:$R,MATCH('2026'!B387,'Balance des comptes'!$A:$A,0)),0)</f>
        <v>0</v>
      </c>
      <c r="E387" s="1">
        <f>+C387-D387</f>
        <v>0</v>
      </c>
    </row>
    <row r="388" spans="1:10" s="6" customFormat="1" x14ac:dyDescent="0.25">
      <c r="B388" s="6">
        <v>462331</v>
      </c>
      <c r="C388" s="1">
        <f>IFERROR(INDEX('Balance des comptes'!$O:$O,MATCH('2026'!B388,'Balance des comptes'!$A:$A,0)),0)</f>
        <v>0</v>
      </c>
      <c r="D388" s="1">
        <f>IFERROR(INDEX('Balance des comptes'!$R:$R,MATCH('2026'!B388,'Balance des comptes'!$A:$A,0)),0)</f>
        <v>0</v>
      </c>
      <c r="E388" s="1">
        <f>+C388-D388</f>
        <v>0</v>
      </c>
    </row>
    <row r="389" spans="1:10" s="6" customFormat="1" x14ac:dyDescent="0.25">
      <c r="B389" s="6" t="s">
        <v>17</v>
      </c>
      <c r="C389" s="1">
        <f>SUM(C385:C388)</f>
        <v>0</v>
      </c>
      <c r="D389" s="1">
        <f>SUM(D385:D388)</f>
        <v>29546020</v>
      </c>
      <c r="E389" s="1">
        <f>SUM(E385:E388)</f>
        <v>-29546020</v>
      </c>
    </row>
    <row r="390" spans="1:10" s="6" customFormat="1" x14ac:dyDescent="0.25">
      <c r="A390"/>
      <c r="B390"/>
      <c r="C390"/>
      <c r="D390"/>
      <c r="E390"/>
      <c r="F390"/>
      <c r="G390"/>
      <c r="H390"/>
      <c r="I390"/>
      <c r="J390"/>
    </row>
    <row r="391" spans="1:10" s="6" customFormat="1" x14ac:dyDescent="0.25">
      <c r="A391" s="5" t="s">
        <v>116</v>
      </c>
      <c r="C391" s="6" t="s">
        <v>0</v>
      </c>
      <c r="D391" s="6" t="s">
        <v>1</v>
      </c>
      <c r="E391" s="6" t="s">
        <v>16</v>
      </c>
    </row>
    <row r="392" spans="1:10" s="6" customFormat="1" x14ac:dyDescent="0.25">
      <c r="B392" s="6">
        <v>467370</v>
      </c>
      <c r="C392" s="1">
        <f>IFERROR(INDEX('Balance des comptes'!$O:$O,MATCH('2026'!B392,'Balance des comptes'!$A:$A,0)),0)</f>
        <v>0</v>
      </c>
      <c r="D392" s="1">
        <f>IFERROR(INDEX('Balance des comptes'!$R:$R,MATCH('2026'!B392,'Balance des comptes'!$A:$A,0)),0)</f>
        <v>13790464.090000033</v>
      </c>
      <c r="E392" s="1">
        <f>+C392-D392</f>
        <v>-13790464.090000033</v>
      </c>
    </row>
    <row r="393" spans="1:10" s="6" customFormat="1" x14ac:dyDescent="0.25">
      <c r="B393" s="6">
        <v>460370</v>
      </c>
      <c r="C393" s="1">
        <f>IFERROR(INDEX('Balance des comptes'!$O:$O,MATCH('2026'!B393,'Balance des comptes'!$A:$A,0)),0)</f>
        <v>0</v>
      </c>
      <c r="D393" s="1">
        <f>IFERROR(INDEX('Balance des comptes'!$R:$R,MATCH('2026'!B393,'Balance des comptes'!$A:$A,0)),0)</f>
        <v>0</v>
      </c>
      <c r="E393" s="1">
        <f>+C393-D393</f>
        <v>0</v>
      </c>
    </row>
    <row r="394" spans="1:10" s="6" customFormat="1" x14ac:dyDescent="0.25">
      <c r="B394" s="6">
        <v>461370</v>
      </c>
      <c r="C394" s="1">
        <f>IFERROR(INDEX('Balance des comptes'!$O:$O,MATCH('2026'!B394,'Balance des comptes'!$A:$A,0)),0)</f>
        <v>0</v>
      </c>
      <c r="D394" s="1">
        <f>IFERROR(INDEX('Balance des comptes'!$R:$R,MATCH('2026'!B394,'Balance des comptes'!$A:$A,0)),0)</f>
        <v>0</v>
      </c>
      <c r="E394" s="1">
        <f>+C394-D394</f>
        <v>0</v>
      </c>
    </row>
    <row r="395" spans="1:10" s="6" customFormat="1" x14ac:dyDescent="0.25">
      <c r="B395" s="6">
        <v>462370</v>
      </c>
      <c r="C395" s="1">
        <f>IFERROR(INDEX('Balance des comptes'!$O:$O,MATCH('2026'!B395,'Balance des comptes'!$A:$A,0)),0)</f>
        <v>0</v>
      </c>
      <c r="D395" s="1">
        <f>IFERROR(INDEX('Balance des comptes'!$R:$R,MATCH('2026'!B395,'Balance des comptes'!$A:$A,0)),0)</f>
        <v>0</v>
      </c>
      <c r="E395" s="1">
        <f>+C395-D395</f>
        <v>0</v>
      </c>
    </row>
    <row r="396" spans="1:10" s="6" customFormat="1" x14ac:dyDescent="0.25">
      <c r="B396" s="6" t="s">
        <v>17</v>
      </c>
      <c r="C396" s="1">
        <f>SUM(C392:C395)</f>
        <v>0</v>
      </c>
      <c r="D396" s="1">
        <f>SUM(D392:D395)</f>
        <v>13790464.090000033</v>
      </c>
      <c r="E396" s="1">
        <f>SUM(E392:E395)</f>
        <v>-13790464.090000033</v>
      </c>
    </row>
    <row r="397" spans="1:10" s="6" customFormat="1" x14ac:dyDescent="0.25">
      <c r="B397" s="6">
        <v>512370</v>
      </c>
      <c r="C397" s="1">
        <f>IFERROR(INDEX('Balance des comptes'!$O:$O,MATCH('2026'!B397,'Balance des comptes'!$A:$A,0)),0)</f>
        <v>13790464.090000004</v>
      </c>
      <c r="D397" s="1">
        <f>IFERROR(INDEX('Balance des comptes'!$R:$R,MATCH('2026'!B397,'Balance des comptes'!$A:$A,0)),0)</f>
        <v>0</v>
      </c>
      <c r="E397" s="1">
        <f>+C397-D397</f>
        <v>13790464.090000004</v>
      </c>
    </row>
    <row r="398" spans="1:10" s="6" customFormat="1" x14ac:dyDescent="0.25">
      <c r="B398" s="6" t="s">
        <v>18</v>
      </c>
      <c r="C398" s="1">
        <f>SUM(C397:C397)</f>
        <v>13790464.090000004</v>
      </c>
      <c r="D398" s="1">
        <f>SUM(D397:D397)</f>
        <v>0</v>
      </c>
      <c r="E398" s="1">
        <f>SUM(E397:E397)</f>
        <v>13790464.090000004</v>
      </c>
    </row>
    <row r="399" spans="1:10" s="6" customFormat="1" x14ac:dyDescent="0.25"/>
    <row r="400" spans="1:10" x14ac:dyDescent="0.25">
      <c r="A400" s="6"/>
      <c r="B400" s="6" t="s">
        <v>19</v>
      </c>
      <c r="C400" s="6"/>
      <c r="D400" s="6"/>
      <c r="E400" s="12">
        <f>+E396+E398</f>
        <v>-2.9802322387695313E-8</v>
      </c>
      <c r="F400" s="6"/>
      <c r="G400" s="6"/>
      <c r="H400" s="6"/>
      <c r="I400" s="6"/>
      <c r="J400" s="6"/>
    </row>
    <row r="402" spans="1:10" s="6" customFormat="1" x14ac:dyDescent="0.25">
      <c r="A402"/>
      <c r="B402"/>
      <c r="C402"/>
      <c r="D402"/>
      <c r="E402"/>
      <c r="F402"/>
      <c r="G402"/>
      <c r="H402"/>
      <c r="I402"/>
      <c r="J402"/>
    </row>
    <row r="403" spans="1:10" s="6" customFormat="1" x14ac:dyDescent="0.25">
      <c r="A403" s="5" t="s">
        <v>13</v>
      </c>
      <c r="C403" s="6" t="s">
        <v>0</v>
      </c>
      <c r="D403" s="6" t="s">
        <v>1</v>
      </c>
      <c r="E403" s="6" t="s">
        <v>16</v>
      </c>
    </row>
    <row r="404" spans="1:10" s="6" customFormat="1" x14ac:dyDescent="0.25">
      <c r="B404" s="6">
        <v>467340</v>
      </c>
      <c r="C404" s="1">
        <f>IFERROR(INDEX('Balance des comptes'!$O:$O,MATCH('2026'!B404,'Balance des comptes'!$A:$A,0)),0)</f>
        <v>0</v>
      </c>
      <c r="D404" s="1">
        <f>IFERROR(INDEX('Balance des comptes'!$R:$R,MATCH('2026'!B404,'Balance des comptes'!$A:$A,0)),0)</f>
        <v>4760909.9199999869</v>
      </c>
      <c r="E404" s="1">
        <f t="shared" ref="E404:E409" si="4">+C404-D404</f>
        <v>-4760909.9199999869</v>
      </c>
      <c r="H404" s="1"/>
    </row>
    <row r="405" spans="1:10" s="6" customFormat="1" x14ac:dyDescent="0.25">
      <c r="B405" s="6">
        <v>460340</v>
      </c>
      <c r="C405" s="1">
        <f>IFERROR(INDEX('Balance des comptes'!$O:$O,MATCH('2026'!B405,'Balance des comptes'!$A:$A,0)),0)</f>
        <v>540000</v>
      </c>
      <c r="D405" s="1">
        <f>IFERROR(INDEX('Balance des comptes'!$R:$R,MATCH('2026'!B405,'Balance des comptes'!$A:$A,0)),0)</f>
        <v>0</v>
      </c>
      <c r="E405" s="1">
        <f t="shared" si="4"/>
        <v>540000</v>
      </c>
    </row>
    <row r="406" spans="1:10" s="6" customFormat="1" x14ac:dyDescent="0.25">
      <c r="B406" s="6">
        <v>461340</v>
      </c>
      <c r="C406" s="1">
        <f>IFERROR(INDEX('Balance des comptes'!$O:$O,MATCH('2026'!B406,'Balance des comptes'!$A:$A,0)),0)</f>
        <v>0</v>
      </c>
      <c r="D406" s="1">
        <f>IFERROR(INDEX('Balance des comptes'!$R:$R,MATCH('2026'!B406,'Balance des comptes'!$A:$A,0)),0)</f>
        <v>0</v>
      </c>
      <c r="E406" s="1">
        <f t="shared" si="4"/>
        <v>0</v>
      </c>
    </row>
    <row r="407" spans="1:10" s="6" customFormat="1" x14ac:dyDescent="0.25">
      <c r="B407" s="6">
        <v>462340</v>
      </c>
      <c r="C407" s="1">
        <f>IFERROR(INDEX('Balance des comptes'!$O:$O,MATCH('2026'!B407,'Balance des comptes'!$A:$A,0)),0)</f>
        <v>0</v>
      </c>
      <c r="D407" s="1">
        <f>IFERROR(INDEX('Balance des comptes'!$R:$R,MATCH('2026'!B407,'Balance des comptes'!$A:$A,0)),0)</f>
        <v>139880</v>
      </c>
      <c r="E407" s="1">
        <f>+C407-D407</f>
        <v>-139880</v>
      </c>
      <c r="G407" s="3"/>
    </row>
    <row r="408" spans="1:10" s="6" customFormat="1" x14ac:dyDescent="0.25">
      <c r="B408" s="6" t="s">
        <v>17</v>
      </c>
      <c r="C408" s="1">
        <f>SUM(C404:C407)</f>
        <v>540000</v>
      </c>
      <c r="D408" s="1">
        <f>SUM(D404:D407)</f>
        <v>4900789.9199999869</v>
      </c>
      <c r="E408" s="1">
        <f>SUM(E404:E407)</f>
        <v>-4360789.9199999869</v>
      </c>
      <c r="F408" s="1"/>
      <c r="G408" s="3"/>
    </row>
    <row r="409" spans="1:10" s="6" customFormat="1" x14ac:dyDescent="0.25">
      <c r="B409" s="6">
        <v>512340</v>
      </c>
      <c r="C409" s="1">
        <f>IFERROR(INDEX('Balance des comptes'!$O:$O,MATCH('2026'!B409,'Balance des comptes'!$A:$A,0)),0)</f>
        <v>3816953.7600000002</v>
      </c>
      <c r="D409" s="1">
        <f>IFERROR(INDEX('Balance des comptes'!$R:$R,MATCH('2026'!B409,'Balance des comptes'!$A:$A,0)),0)</f>
        <v>0</v>
      </c>
      <c r="E409" s="1">
        <f t="shared" si="4"/>
        <v>3816953.7600000002</v>
      </c>
    </row>
    <row r="410" spans="1:10" s="6" customFormat="1" x14ac:dyDescent="0.25">
      <c r="B410" s="6" t="s">
        <v>18</v>
      </c>
      <c r="C410" s="1">
        <f>SUM(C409:C409)</f>
        <v>3816953.7600000002</v>
      </c>
      <c r="D410" s="1">
        <f>SUM(D409:D409)</f>
        <v>0</v>
      </c>
      <c r="E410" s="1">
        <f>SUM(E409:E409)</f>
        <v>3816953.7600000002</v>
      </c>
      <c r="G410" s="3"/>
    </row>
    <row r="411" spans="1:10" s="6" customFormat="1" x14ac:dyDescent="0.25">
      <c r="F411" s="20"/>
    </row>
    <row r="412" spans="1:10" s="6" customFormat="1" x14ac:dyDescent="0.25">
      <c r="B412" s="6" t="s">
        <v>19</v>
      </c>
      <c r="E412" s="12">
        <f>+E408+E410</f>
        <v>-543836.15999998664</v>
      </c>
    </row>
    <row r="413" spans="1:10" s="6" customFormat="1" x14ac:dyDescent="0.25">
      <c r="A413" s="5" t="s">
        <v>39</v>
      </c>
      <c r="C413" s="6" t="s">
        <v>0</v>
      </c>
      <c r="D413" s="6" t="s">
        <v>1</v>
      </c>
      <c r="E413" s="6" t="s">
        <v>16</v>
      </c>
    </row>
    <row r="414" spans="1:10" s="6" customFormat="1" x14ac:dyDescent="0.25">
      <c r="B414" s="6">
        <v>467360</v>
      </c>
      <c r="C414" s="1">
        <f>IFERROR(INDEX('Balance des comptes'!$O:$O,MATCH('2026'!B414,'Balance des comptes'!$A:$A,0)),0)</f>
        <v>0</v>
      </c>
      <c r="D414" s="1">
        <f>IFERROR(INDEX('Balance des comptes'!$R:$R,MATCH('2026'!B414,'Balance des comptes'!$A:$A,0)),0)</f>
        <v>13234850.639999986</v>
      </c>
      <c r="E414" s="1">
        <f>+C414-D414</f>
        <v>-13234850.639999986</v>
      </c>
      <c r="G414" s="6" t="s">
        <v>17</v>
      </c>
      <c r="H414" s="3">
        <f>+E408+E418</f>
        <v>-17665540.559999973</v>
      </c>
    </row>
    <row r="415" spans="1:10" s="6" customFormat="1" x14ac:dyDescent="0.25">
      <c r="B415" s="6">
        <v>460360</v>
      </c>
      <c r="C415" s="1">
        <f>IFERROR(INDEX('Balance des comptes'!$O:$O,MATCH('2026'!B415,'Balance des comptes'!$A:$A,0)),0)</f>
        <v>0</v>
      </c>
      <c r="D415" s="1">
        <f>IFERROR(INDEX('Balance des comptes'!$R:$R,MATCH('2026'!B415,'Balance des comptes'!$A:$A,0)),0)</f>
        <v>0</v>
      </c>
      <c r="E415" s="1">
        <f>+C415-D415</f>
        <v>0</v>
      </c>
      <c r="G415" s="6" t="s">
        <v>18</v>
      </c>
      <c r="H415" s="3">
        <f>+E410+E420</f>
        <v>17051804.400000002</v>
      </c>
    </row>
    <row r="416" spans="1:10" s="6" customFormat="1" x14ac:dyDescent="0.25">
      <c r="B416" s="6">
        <v>461360</v>
      </c>
      <c r="C416" s="1">
        <f>IFERROR(INDEX('Balance des comptes'!$O:$O,MATCH('2026'!B416,'Balance des comptes'!$A:$A,0)),0)</f>
        <v>0</v>
      </c>
      <c r="D416" s="1">
        <f>IFERROR(INDEX('Balance des comptes'!$R:$R,MATCH('2026'!B416,'Balance des comptes'!$A:$A,0)),0)</f>
        <v>0</v>
      </c>
      <c r="E416" s="1">
        <f t="shared" ref="E416:E419" si="5">+C416-D416</f>
        <v>0</v>
      </c>
      <c r="G416" s="6" t="s">
        <v>19</v>
      </c>
      <c r="H416" s="12">
        <f>SUM(H414:H415)</f>
        <v>-613736.15999997035</v>
      </c>
    </row>
    <row r="417" spans="1:10" s="6" customFormat="1" x14ac:dyDescent="0.25">
      <c r="B417" s="6">
        <v>462360</v>
      </c>
      <c r="C417" s="1">
        <f>IFERROR(INDEX('Balance des comptes'!$O:$O,MATCH('2026'!B417,'Balance des comptes'!$A:$A,0)),0)</f>
        <v>0</v>
      </c>
      <c r="D417" s="1">
        <f>IFERROR(INDEX('Balance des comptes'!$R:$R,MATCH('2026'!B417,'Balance des comptes'!$A:$A,0)),0)</f>
        <v>69900</v>
      </c>
      <c r="E417" s="1">
        <f t="shared" si="5"/>
        <v>-69900</v>
      </c>
      <c r="G417" s="3"/>
    </row>
    <row r="418" spans="1:10" s="6" customFormat="1" x14ac:dyDescent="0.25">
      <c r="B418" s="6" t="s">
        <v>17</v>
      </c>
      <c r="C418" s="1">
        <f>SUM(C414:C417)</f>
        <v>0</v>
      </c>
      <c r="D418" s="1">
        <f>SUM(D414:D417)</f>
        <v>13304750.639999986</v>
      </c>
      <c r="E418" s="1">
        <f>SUM(E414:E417)</f>
        <v>-13304750.639999986</v>
      </c>
      <c r="F418" s="1"/>
    </row>
    <row r="419" spans="1:10" s="6" customFormat="1" x14ac:dyDescent="0.25">
      <c r="B419" s="6">
        <v>512360</v>
      </c>
      <c r="C419" s="1">
        <f>IFERROR(INDEX('Balance des comptes'!$O:$O,MATCH('2026'!B419,'Balance des comptes'!$A:$A,0)),0)</f>
        <v>13234850.640000001</v>
      </c>
      <c r="D419" s="1">
        <f>IFERROR(INDEX('Balance des comptes'!$R:$R,MATCH('2026'!B419,'Balance des comptes'!$A:$A,0)),0)</f>
        <v>0</v>
      </c>
      <c r="E419" s="1">
        <f t="shared" si="5"/>
        <v>13234850.640000001</v>
      </c>
      <c r="F419" s="3"/>
    </row>
    <row r="420" spans="1:10" s="6" customFormat="1" x14ac:dyDescent="0.25">
      <c r="B420" s="6" t="s">
        <v>18</v>
      </c>
      <c r="C420" s="1">
        <f>SUM(C419:C419)</f>
        <v>13234850.640000001</v>
      </c>
      <c r="D420" s="1">
        <f>SUM(D419:D419)</f>
        <v>0</v>
      </c>
      <c r="E420" s="1">
        <f>SUM(E419:E419)</f>
        <v>13234850.640000001</v>
      </c>
    </row>
    <row r="421" spans="1:10" s="6" customFormat="1" x14ac:dyDescent="0.25"/>
    <row r="422" spans="1:10" x14ac:dyDescent="0.25">
      <c r="A422" s="6"/>
      <c r="B422" s="6" t="s">
        <v>19</v>
      </c>
      <c r="C422" s="6"/>
      <c r="D422" s="6"/>
      <c r="E422" s="12">
        <f>+E418+E420</f>
        <v>-69899.999999985099</v>
      </c>
      <c r="F422" s="6"/>
      <c r="G422" s="6"/>
      <c r="H422" s="6"/>
      <c r="I422" s="6"/>
      <c r="J422" s="6"/>
    </row>
    <row r="423" spans="1:10" s="6" customFormat="1" x14ac:dyDescent="0.25">
      <c r="A423"/>
      <c r="B423"/>
      <c r="C423"/>
      <c r="D423"/>
      <c r="E423"/>
      <c r="F423"/>
      <c r="G423"/>
      <c r="H423"/>
      <c r="I423"/>
      <c r="J423"/>
    </row>
    <row r="424" spans="1:10" s="6" customFormat="1" x14ac:dyDescent="0.25">
      <c r="A424" s="5" t="s">
        <v>14</v>
      </c>
      <c r="C424" s="6" t="s">
        <v>0</v>
      </c>
      <c r="D424" s="6" t="s">
        <v>1</v>
      </c>
      <c r="E424" s="6" t="s">
        <v>16</v>
      </c>
    </row>
    <row r="425" spans="1:10" s="6" customFormat="1" x14ac:dyDescent="0.25">
      <c r="B425" s="6">
        <v>467350</v>
      </c>
      <c r="C425" s="1">
        <f>IFERROR(INDEX('Balance des comptes'!$O:$O,MATCH('2026'!B425,'Balance des comptes'!$A:$A,0)),0)</f>
        <v>0</v>
      </c>
      <c r="D425" s="1">
        <f>IFERROR(INDEX('Balance des comptes'!$R:$R,MATCH('2026'!B425,'Balance des comptes'!$A:$A,0)),0)</f>
        <v>672141.6400000006</v>
      </c>
      <c r="E425" s="1">
        <f>+C425-D425</f>
        <v>-672141.6400000006</v>
      </c>
    </row>
    <row r="426" spans="1:10" s="6" customFormat="1" x14ac:dyDescent="0.25">
      <c r="B426" s="6">
        <v>460350</v>
      </c>
      <c r="C426" s="1">
        <f>IFERROR(INDEX('Balance des comptes'!$O:$O,MATCH('2026'!B426,'Balance des comptes'!$A:$A,0)),0)</f>
        <v>3010000</v>
      </c>
      <c r="D426" s="1">
        <f>IFERROR(INDEX('Balance des comptes'!$R:$R,MATCH('2026'!B426,'Balance des comptes'!$A:$A,0)),0)</f>
        <v>0</v>
      </c>
      <c r="E426" s="1">
        <f>+C426-D426</f>
        <v>3010000</v>
      </c>
    </row>
    <row r="427" spans="1:10" s="6" customFormat="1" x14ac:dyDescent="0.25">
      <c r="B427" s="6">
        <v>461350</v>
      </c>
      <c r="C427" s="1">
        <f>IFERROR(INDEX('Balance des comptes'!$O:$O,MATCH('2026'!B427,'Balance des comptes'!$A:$A,0)),0)</f>
        <v>0</v>
      </c>
      <c r="D427" s="1">
        <f>IFERROR(INDEX('Balance des comptes'!$R:$R,MATCH('2026'!B427,'Balance des comptes'!$A:$A,0)),0)</f>
        <v>0</v>
      </c>
      <c r="E427" s="1">
        <f>+C427-D427</f>
        <v>0</v>
      </c>
    </row>
    <row r="428" spans="1:10" s="6" customFormat="1" x14ac:dyDescent="0.25">
      <c r="B428" s="6">
        <v>462350</v>
      </c>
      <c r="C428" s="1">
        <f>IFERROR(INDEX('Balance des comptes'!$O:$O,MATCH('2026'!B428,'Balance des comptes'!$A:$A,0)),0)</f>
        <v>0</v>
      </c>
      <c r="D428" s="1">
        <f>IFERROR(INDEX('Balance des comptes'!$R:$R,MATCH('2026'!B428,'Balance des comptes'!$A:$A,0)),0)</f>
        <v>0</v>
      </c>
      <c r="E428" s="1">
        <f>+C428-D428</f>
        <v>0</v>
      </c>
      <c r="G428" s="6" t="s">
        <v>17</v>
      </c>
      <c r="H428" s="3">
        <f>+E429+E438</f>
        <v>-2954541.6400000006</v>
      </c>
    </row>
    <row r="429" spans="1:10" s="6" customFormat="1" x14ac:dyDescent="0.25">
      <c r="B429" s="6" t="s">
        <v>17</v>
      </c>
      <c r="C429" s="1">
        <f>SUM(C425:C428)</f>
        <v>3010000</v>
      </c>
      <c r="D429" s="1">
        <f>SUM(D425:D428)</f>
        <v>672141.6400000006</v>
      </c>
      <c r="E429" s="1">
        <f>SUM(E425:E428)</f>
        <v>2337858.3599999994</v>
      </c>
      <c r="G429" s="6" t="s">
        <v>18</v>
      </c>
      <c r="H429" s="3">
        <f>+E431</f>
        <v>2772796.84</v>
      </c>
    </row>
    <row r="430" spans="1:10" s="6" customFormat="1" x14ac:dyDescent="0.25">
      <c r="B430" s="6">
        <v>512350</v>
      </c>
      <c r="C430" s="1">
        <f>IFERROR(INDEX('Balance des comptes'!$O:$O,MATCH('2026'!B430,'Balance des comptes'!$A:$A,0)),0)</f>
        <v>2772796.84</v>
      </c>
      <c r="D430" s="1">
        <f>IFERROR(INDEX('Balance des comptes'!$R:$R,MATCH('2026'!B430,'Balance des comptes'!$A:$A,0)),0)</f>
        <v>0</v>
      </c>
      <c r="E430" s="1">
        <f>+C430-D430</f>
        <v>2772796.84</v>
      </c>
      <c r="G430" s="6" t="s">
        <v>19</v>
      </c>
      <c r="H430" s="12">
        <f>SUM(H428:H429)</f>
        <v>-181744.80000000075</v>
      </c>
    </row>
    <row r="431" spans="1:10" s="6" customFormat="1" x14ac:dyDescent="0.25">
      <c r="B431" s="6" t="s">
        <v>18</v>
      </c>
      <c r="C431" s="1">
        <f>SUM(C430:C430)</f>
        <v>2772796.84</v>
      </c>
      <c r="D431" s="1">
        <f>SUM(D430:D430)</f>
        <v>0</v>
      </c>
      <c r="E431" s="1">
        <f>E430</f>
        <v>2772796.84</v>
      </c>
    </row>
    <row r="432" spans="1:10" s="6" customFormat="1" x14ac:dyDescent="0.25">
      <c r="C432" s="1"/>
      <c r="D432" s="1"/>
      <c r="E432" s="1"/>
    </row>
    <row r="433" spans="1:10" s="6" customFormat="1" x14ac:dyDescent="0.25">
      <c r="A433" s="5" t="s">
        <v>143</v>
      </c>
      <c r="C433" s="6" t="s">
        <v>0</v>
      </c>
      <c r="D433" s="6" t="s">
        <v>1</v>
      </c>
      <c r="E433" s="6" t="s">
        <v>16</v>
      </c>
    </row>
    <row r="434" spans="1:10" s="6" customFormat="1" x14ac:dyDescent="0.25">
      <c r="B434" s="6">
        <v>467332</v>
      </c>
      <c r="C434" s="1">
        <f>IFERROR(INDEX('Balance des comptes'!$O:$O,MATCH('2026'!B434,'Balance des comptes'!$A:$A,0)),0)</f>
        <v>0</v>
      </c>
      <c r="D434" s="1">
        <f>IFERROR(INDEX('Balance des comptes'!$R:$R,MATCH('2026'!B434,'Balance des comptes'!$A:$A,0)),0)</f>
        <v>6972400</v>
      </c>
      <c r="E434" s="1">
        <f>+C434-D434</f>
        <v>-6972400</v>
      </c>
    </row>
    <row r="435" spans="1:10" s="6" customFormat="1" x14ac:dyDescent="0.25">
      <c r="B435" s="6">
        <v>460332</v>
      </c>
      <c r="C435" s="1">
        <f>IFERROR(INDEX('Balance des comptes'!$O:$O,MATCH('2026'!B435,'Balance des comptes'!$A:$A,0)),0)</f>
        <v>1680000</v>
      </c>
      <c r="D435" s="1">
        <f>IFERROR(INDEX('Balance des comptes'!$R:$R,MATCH('2026'!B435,'Balance des comptes'!$A:$A,0)),0)</f>
        <v>0</v>
      </c>
      <c r="E435" s="1">
        <f>+C435-D435</f>
        <v>1680000</v>
      </c>
    </row>
    <row r="436" spans="1:10" s="6" customFormat="1" x14ac:dyDescent="0.25">
      <c r="B436" s="6">
        <v>461332</v>
      </c>
      <c r="C436" s="1">
        <f>IFERROR(INDEX('Balance des comptes'!$O:$O,MATCH('2026'!B436,'Balance des comptes'!$A:$A,0)),0)</f>
        <v>0</v>
      </c>
      <c r="D436" s="1">
        <f>IFERROR(INDEX('Balance des comptes'!$R:$R,MATCH('2026'!B436,'Balance des comptes'!$A:$A,0)),0)</f>
        <v>0</v>
      </c>
      <c r="E436" s="1">
        <f>+C436-D436</f>
        <v>0</v>
      </c>
    </row>
    <row r="437" spans="1:10" s="6" customFormat="1" x14ac:dyDescent="0.25">
      <c r="B437" s="6">
        <v>462332</v>
      </c>
      <c r="C437" s="1">
        <f>IFERROR(INDEX('Balance des comptes'!$O:$O,MATCH('2026'!B437,'Balance des comptes'!$A:$A,0)),0)</f>
        <v>0</v>
      </c>
      <c r="D437" s="1">
        <f>IFERROR(INDEX('Balance des comptes'!$R:$R,MATCH('2026'!B437,'Balance des comptes'!$A:$A,0)),0)</f>
        <v>0</v>
      </c>
      <c r="E437" s="1">
        <f>+C437-D437</f>
        <v>0</v>
      </c>
    </row>
    <row r="438" spans="1:10" s="6" customFormat="1" x14ac:dyDescent="0.25">
      <c r="B438" s="6" t="s">
        <v>17</v>
      </c>
      <c r="C438" s="1">
        <f>SUM(C434:C437)</f>
        <v>1680000</v>
      </c>
      <c r="D438" s="1">
        <f>SUM(D434:D437)</f>
        <v>6972400</v>
      </c>
      <c r="E438" s="1">
        <f>SUM(E434:E437)</f>
        <v>-5292400</v>
      </c>
    </row>
    <row r="439" spans="1:10" s="6" customFormat="1" x14ac:dyDescent="0.25">
      <c r="A439"/>
      <c r="B439"/>
      <c r="C439"/>
      <c r="D439"/>
      <c r="E439"/>
      <c r="F439"/>
      <c r="G439"/>
      <c r="H439"/>
      <c r="I439"/>
      <c r="J439"/>
    </row>
    <row r="440" spans="1:10" s="6" customFormat="1" x14ac:dyDescent="0.25">
      <c r="A440" s="5" t="s">
        <v>38</v>
      </c>
      <c r="C440" s="6" t="s">
        <v>0</v>
      </c>
      <c r="D440" s="6" t="s">
        <v>1</v>
      </c>
      <c r="E440" s="6" t="s">
        <v>16</v>
      </c>
      <c r="G440" s="10"/>
    </row>
    <row r="441" spans="1:10" s="6" customFormat="1" x14ac:dyDescent="0.25">
      <c r="B441" s="6">
        <v>467700</v>
      </c>
      <c r="C441" s="1">
        <f>IFERROR(INDEX('Balance des comptes'!$O:$O,MATCH('2026'!B441,'Balance des comptes'!$A:$A,0)),0)</f>
        <v>0</v>
      </c>
      <c r="D441" s="1">
        <f>IFERROR(INDEX('Balance des comptes'!$R:$R,MATCH('2026'!B441,'Balance des comptes'!$A:$A,0)),0)</f>
        <v>37284285.199999988</v>
      </c>
      <c r="E441" s="1">
        <f>+C441-D441</f>
        <v>-37284285.199999988</v>
      </c>
    </row>
    <row r="442" spans="1:10" s="6" customFormat="1" x14ac:dyDescent="0.25">
      <c r="B442" s="6">
        <v>460700</v>
      </c>
      <c r="C442" s="1">
        <f>IFERROR(INDEX('Balance des comptes'!$O:$O,MATCH('2026'!B442,'Balance des comptes'!$A:$A,0)),0)</f>
        <v>19500000</v>
      </c>
      <c r="D442" s="1">
        <f>IFERROR(INDEX('Balance des comptes'!$R:$R,MATCH('2026'!B442,'Balance des comptes'!$A:$A,0)),0)</f>
        <v>0</v>
      </c>
      <c r="E442" s="1">
        <f>+C442-D442</f>
        <v>19500000</v>
      </c>
      <c r="G442" s="6" t="s">
        <v>17</v>
      </c>
      <c r="H442" s="3">
        <f>+E445+E454</f>
        <v>-18635282.199999988</v>
      </c>
    </row>
    <row r="443" spans="1:10" s="6" customFormat="1" x14ac:dyDescent="0.25">
      <c r="B443" s="6">
        <v>461700</v>
      </c>
      <c r="C443" s="1">
        <f>IFERROR(INDEX('Balance des comptes'!$O:$O,MATCH('2026'!B443,'Balance des comptes'!$A:$A,0)),0)</f>
        <v>0</v>
      </c>
      <c r="D443" s="1">
        <f>IFERROR(INDEX('Balance des comptes'!$R:$R,MATCH('2026'!B443,'Balance des comptes'!$A:$A,0)),0)</f>
        <v>0</v>
      </c>
      <c r="E443" s="1">
        <f>+C443-D443</f>
        <v>0</v>
      </c>
      <c r="G443" s="6" t="s">
        <v>18</v>
      </c>
      <c r="H443" s="3">
        <f>+E447</f>
        <v>19518229.719999999</v>
      </c>
    </row>
    <row r="444" spans="1:10" s="6" customFormat="1" x14ac:dyDescent="0.25">
      <c r="B444" s="6">
        <v>462700</v>
      </c>
      <c r="C444" s="1">
        <f>IFERROR(INDEX('Balance des comptes'!$O:$O,MATCH('2026'!B444,'Balance des comptes'!$A:$A,0)),0)</f>
        <v>0</v>
      </c>
      <c r="D444" s="1">
        <f>IFERROR(INDEX('Balance des comptes'!$R:$R,MATCH('2026'!B444,'Balance des comptes'!$A:$A,0)),0)</f>
        <v>718000</v>
      </c>
      <c r="E444" s="1">
        <f>+C444-D444</f>
        <v>-718000</v>
      </c>
      <c r="G444" s="6" t="s">
        <v>19</v>
      </c>
      <c r="H444" s="12">
        <f>SUM(H442:H443)</f>
        <v>882947.52000001073</v>
      </c>
    </row>
    <row r="445" spans="1:10" s="6" customFormat="1" x14ac:dyDescent="0.25">
      <c r="B445" s="6" t="s">
        <v>17</v>
      </c>
      <c r="C445" s="1">
        <f>SUM(C441:C444)</f>
        <v>19500000</v>
      </c>
      <c r="D445" s="1">
        <f>SUM(D441:D444)</f>
        <v>38002285.199999988</v>
      </c>
      <c r="E445" s="1">
        <f>SUM(E441:E444)</f>
        <v>-18502285.199999988</v>
      </c>
      <c r="F445" s="1"/>
    </row>
    <row r="446" spans="1:10" s="6" customFormat="1" x14ac:dyDescent="0.25">
      <c r="B446" s="6">
        <v>512700</v>
      </c>
      <c r="C446" s="1">
        <f>IFERROR(INDEX('Balance des comptes'!$O:$O,MATCH('2026'!B446,'Balance des comptes'!$A:$A,0)),0)</f>
        <v>19518229.719999999</v>
      </c>
      <c r="D446" s="1">
        <f>IFERROR(INDEX('Balance des comptes'!$R:$R,MATCH('2026'!B446,'Balance des comptes'!$A:$A,0)),0)</f>
        <v>0</v>
      </c>
      <c r="E446" s="1">
        <f>+C446-D446</f>
        <v>19518229.719999999</v>
      </c>
    </row>
    <row r="447" spans="1:10" s="6" customFormat="1" x14ac:dyDescent="0.25">
      <c r="B447" s="6" t="s">
        <v>18</v>
      </c>
      <c r="C447" s="1">
        <f>C446</f>
        <v>19518229.719999999</v>
      </c>
      <c r="D447" s="1">
        <f>SUM(D446:D446)</f>
        <v>0</v>
      </c>
      <c r="E447" s="1">
        <f>+E446</f>
        <v>19518229.719999999</v>
      </c>
    </row>
    <row r="448" spans="1:10" s="6" customFormat="1" x14ac:dyDescent="0.25">
      <c r="C448" s="1"/>
      <c r="D448" s="1"/>
      <c r="E448" s="1"/>
    </row>
    <row r="449" spans="1:12" s="6" customFormat="1" x14ac:dyDescent="0.25">
      <c r="A449" s="5" t="s">
        <v>189</v>
      </c>
      <c r="C449" s="6" t="s">
        <v>0</v>
      </c>
      <c r="D449" s="6" t="s">
        <v>1</v>
      </c>
      <c r="E449" s="6" t="s">
        <v>16</v>
      </c>
    </row>
    <row r="450" spans="1:12" s="6" customFormat="1" x14ac:dyDescent="0.25">
      <c r="B450" s="6">
        <v>467710</v>
      </c>
      <c r="C450" s="1">
        <f>IFERROR(INDEX('Balance des comptes'!$O:$O,MATCH('2026'!B450,'Balance des comptes'!$A:$A,0)),0)</f>
        <v>0</v>
      </c>
      <c r="D450" s="1">
        <f>IFERROR(INDEX('Balance des comptes'!$R:$R,MATCH('2026'!B450,'Balance des comptes'!$A:$A,0)),0)</f>
        <v>10643197</v>
      </c>
      <c r="E450" s="1">
        <f>+C450-D450</f>
        <v>-10643197</v>
      </c>
    </row>
    <row r="451" spans="1:12" s="6" customFormat="1" x14ac:dyDescent="0.25">
      <c r="B451" s="6">
        <v>460710</v>
      </c>
      <c r="C451" s="1">
        <f>IFERROR(INDEX('Balance des comptes'!$O:$O,MATCH('2026'!B451,'Balance des comptes'!$A:$A,0)),0)</f>
        <v>10510200</v>
      </c>
      <c r="D451" s="1">
        <f>IFERROR(INDEX('Balance des comptes'!$R:$R,MATCH('2026'!B451,'Balance des comptes'!$A:$A,0)),0)</f>
        <v>0</v>
      </c>
      <c r="E451" s="1">
        <f>+C451-D451</f>
        <v>10510200</v>
      </c>
    </row>
    <row r="452" spans="1:12" s="6" customFormat="1" x14ac:dyDescent="0.25">
      <c r="B452" s="6">
        <v>461710</v>
      </c>
      <c r="C452" s="1">
        <f>IFERROR(INDEX('Balance des comptes'!$O:$O,MATCH('2026'!B452,'Balance des comptes'!$A:$A,0)),0)</f>
        <v>0</v>
      </c>
      <c r="D452" s="1">
        <f>IFERROR(INDEX('Balance des comptes'!$R:$R,MATCH('2026'!B452,'Balance des comptes'!$A:$A,0)),0)</f>
        <v>0</v>
      </c>
      <c r="E452" s="1">
        <f>+C452-D452</f>
        <v>0</v>
      </c>
    </row>
    <row r="453" spans="1:12" s="6" customFormat="1" x14ac:dyDescent="0.25">
      <c r="B453" s="6">
        <v>462710</v>
      </c>
      <c r="C453" s="1">
        <f>IFERROR(INDEX('Balance des comptes'!$O:$O,MATCH('2026'!B453,'Balance des comptes'!$A:$A,0)),0)</f>
        <v>0</v>
      </c>
      <c r="D453" s="1">
        <f>IFERROR(INDEX('Balance des comptes'!$R:$R,MATCH('2026'!B453,'Balance des comptes'!$A:$A,0)),0)</f>
        <v>0</v>
      </c>
      <c r="E453" s="1">
        <f>+C453-D453</f>
        <v>0</v>
      </c>
    </row>
    <row r="454" spans="1:12" s="6" customFormat="1" x14ac:dyDescent="0.25">
      <c r="B454" s="6" t="s">
        <v>17</v>
      </c>
      <c r="C454" s="1">
        <f>SUM(C450:C453)</f>
        <v>10510200</v>
      </c>
      <c r="D454" s="1">
        <f>SUM(D450:D453)</f>
        <v>10643197</v>
      </c>
      <c r="E454" s="1">
        <f>SUM(E450:E453)</f>
        <v>-132997</v>
      </c>
      <c r="F454" s="1"/>
    </row>
    <row r="455" spans="1:12" s="6" customFormat="1" x14ac:dyDescent="0.25">
      <c r="E455" s="3"/>
      <c r="L455"/>
    </row>
    <row r="456" spans="1:1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2" s="6" customFormat="1" x14ac:dyDescent="0.25">
      <c r="A457"/>
      <c r="B457"/>
      <c r="C457"/>
      <c r="D457" s="2"/>
      <c r="E457"/>
      <c r="F457"/>
      <c r="G457"/>
      <c r="H457"/>
      <c r="I457"/>
      <c r="J457"/>
    </row>
    <row r="458" spans="1:12" s="6" customFormat="1" x14ac:dyDescent="0.25">
      <c r="A458" s="5" t="s">
        <v>25</v>
      </c>
      <c r="C458" s="6" t="s">
        <v>0</v>
      </c>
      <c r="D458" s="6" t="s">
        <v>1</v>
      </c>
      <c r="E458" s="6" t="s">
        <v>16</v>
      </c>
    </row>
    <row r="459" spans="1:12" s="6" customFormat="1" x14ac:dyDescent="0.25">
      <c r="B459" s="6">
        <v>467500</v>
      </c>
      <c r="C459" s="1">
        <f>IFERROR(INDEX('Balance des comptes'!$O:$O,MATCH('2026'!B459,'Balance des comptes'!$A:$A,0)),0)</f>
        <v>172800</v>
      </c>
      <c r="D459" s="1">
        <f>IFERROR(INDEX('Balance des comptes'!$R:$R,MATCH('2026'!B459,'Balance des comptes'!$A:$A,0)),0)</f>
        <v>0</v>
      </c>
      <c r="E459" s="1">
        <f>+C459-D459</f>
        <v>172800</v>
      </c>
    </row>
    <row r="460" spans="1:12" s="6" customFormat="1" x14ac:dyDescent="0.25">
      <c r="B460" s="6">
        <v>460500</v>
      </c>
      <c r="C460" s="1">
        <f>IFERROR(INDEX('Balance des comptes'!$O:$O,MATCH('2026'!B460,'Balance des comptes'!$A:$A,0)),0)</f>
        <v>0</v>
      </c>
      <c r="D460" s="1">
        <f>IFERROR(INDEX('Balance des comptes'!$R:$R,MATCH('2026'!B460,'Balance des comptes'!$A:$A,0)),0)</f>
        <v>0</v>
      </c>
      <c r="E460" s="1">
        <f>+C460-D460</f>
        <v>0</v>
      </c>
      <c r="H460" s="1"/>
    </row>
    <row r="461" spans="1:12" s="6" customFormat="1" x14ac:dyDescent="0.25">
      <c r="B461" s="6">
        <v>461500</v>
      </c>
      <c r="C461" s="1">
        <f>IFERROR(INDEX('Balance des comptes'!$O:$O,MATCH('2026'!B461,'Balance des comptes'!$A:$A,0)),0)</f>
        <v>0</v>
      </c>
      <c r="D461" s="1">
        <f>IFERROR(INDEX('Balance des comptes'!$R:$R,MATCH('2026'!B461,'Balance des comptes'!$A:$A,0)),0)</f>
        <v>0</v>
      </c>
      <c r="E461" s="1">
        <f>+C461-D461</f>
        <v>0</v>
      </c>
      <c r="H461" s="1"/>
    </row>
    <row r="462" spans="1:12" s="6" customFormat="1" x14ac:dyDescent="0.25">
      <c r="B462" s="6">
        <v>462500</v>
      </c>
      <c r="C462" s="1">
        <f>IFERROR(INDEX('Balance des comptes'!$O:$O,MATCH('2026'!B462,'Balance des comptes'!$A:$A,0)),0)</f>
        <v>0</v>
      </c>
      <c r="D462" s="1">
        <f>IFERROR(INDEX('Balance des comptes'!$R:$R,MATCH('2026'!B462,'Balance des comptes'!$A:$A,0)),0)</f>
        <v>0</v>
      </c>
      <c r="E462" s="1">
        <f>+C462-D462</f>
        <v>0</v>
      </c>
      <c r="H462" s="3"/>
      <c r="I462" s="3"/>
    </row>
    <row r="463" spans="1:12" s="6" customFormat="1" x14ac:dyDescent="0.25">
      <c r="B463" s="6" t="s">
        <v>17</v>
      </c>
      <c r="C463" s="1">
        <f>SUM(C459:C462)</f>
        <v>172800</v>
      </c>
      <c r="D463" s="1">
        <f>SUM(D459:D462)</f>
        <v>0</v>
      </c>
      <c r="E463" s="1">
        <f>SUM(E459:E462)</f>
        <v>172800</v>
      </c>
      <c r="F463" s="1"/>
      <c r="G463" s="1"/>
    </row>
    <row r="464" spans="1:12" s="6" customFormat="1" x14ac:dyDescent="0.25">
      <c r="B464" s="6">
        <v>512500</v>
      </c>
      <c r="C464" s="1">
        <f>IFERROR(INDEX('Balance des comptes'!$O:$O,MATCH('2026'!B464,'Balance des comptes'!$A:$A,0)),0)</f>
        <v>3090102.02</v>
      </c>
      <c r="D464" s="1">
        <f>IFERROR(INDEX('Balance des comptes'!$R:$R,MATCH('2026'!B464,'Balance des comptes'!$A:$A,0)),0)</f>
        <v>0</v>
      </c>
      <c r="E464" s="24">
        <f>+C464-D464</f>
        <v>3090102.02</v>
      </c>
      <c r="F464" s="9"/>
      <c r="G464" s="1"/>
      <c r="I464" s="3"/>
    </row>
    <row r="465" spans="1:9" s="6" customFormat="1" x14ac:dyDescent="0.25">
      <c r="B465" s="6">
        <v>512004</v>
      </c>
      <c r="C465" s="1">
        <f>IFERROR(INDEX('Balance des comptes'!$O:$O,MATCH('2026'!B465,'Balance des comptes'!$A:$A,0)),0)</f>
        <v>4157922</v>
      </c>
      <c r="D465" s="1">
        <f>IFERROR(INDEX('Balance des comptes'!$R:$R,MATCH('2026'!B465,'Balance des comptes'!$A:$A,0)),0)</f>
        <v>0</v>
      </c>
      <c r="E465" s="24">
        <f>+C465-D465</f>
        <v>4157922</v>
      </c>
      <c r="F465" s="9"/>
      <c r="G465" s="3"/>
      <c r="H465" s="3"/>
      <c r="I465" s="3"/>
    </row>
    <row r="466" spans="1:9" s="6" customFormat="1" x14ac:dyDescent="0.25">
      <c r="B466" s="6">
        <v>513500</v>
      </c>
      <c r="C466" s="1">
        <f>IFERROR(INDEX('Balance des comptes'!$O:$O,MATCH('2026'!B466,'Balance des comptes'!$A:$A,0)),0)</f>
        <v>445479</v>
      </c>
      <c r="D466" s="1">
        <f>IFERROR(INDEX('Balance des comptes'!$R:$R,MATCH('2026'!B466,'Balance des comptes'!$A:$A,0)),0)</f>
        <v>0</v>
      </c>
      <c r="E466" s="1">
        <f>+C466-D466</f>
        <v>445479</v>
      </c>
      <c r="G466" s="3"/>
      <c r="H466" s="3"/>
    </row>
    <row r="467" spans="1:9" s="6" customFormat="1" x14ac:dyDescent="0.25">
      <c r="B467" s="6" t="s">
        <v>18</v>
      </c>
      <c r="C467" s="1">
        <f>SUM(C464:C466)</f>
        <v>7693503.0199999996</v>
      </c>
      <c r="D467" s="1">
        <f>SUM(D464:D466)</f>
        <v>0</v>
      </c>
      <c r="E467" s="1">
        <f>SUM(E464:E466)</f>
        <v>7693503.0199999996</v>
      </c>
      <c r="F467" s="3"/>
      <c r="H467" s="3"/>
    </row>
    <row r="468" spans="1:9" s="6" customFormat="1" x14ac:dyDescent="0.25">
      <c r="F468" s="3"/>
      <c r="G468" s="3"/>
    </row>
    <row r="469" spans="1:9" s="6" customFormat="1" x14ac:dyDescent="0.25">
      <c r="B469" s="6" t="s">
        <v>19</v>
      </c>
      <c r="E469" s="12">
        <f>+E463+E467</f>
        <v>7866303.0199999996</v>
      </c>
      <c r="F469" s="3"/>
      <c r="G469" s="6" t="s">
        <v>17</v>
      </c>
      <c r="H469" s="3">
        <f>+E463+E478</f>
        <v>172800</v>
      </c>
    </row>
    <row r="470" spans="1:9" s="6" customFormat="1" x14ac:dyDescent="0.25">
      <c r="E470" s="1"/>
      <c r="G470" s="6" t="s">
        <v>18</v>
      </c>
      <c r="H470" s="3">
        <f>+E467+E480</f>
        <v>76586638.60999997</v>
      </c>
      <c r="I470" s="3"/>
    </row>
    <row r="471" spans="1:9" s="6" customFormat="1" x14ac:dyDescent="0.25">
      <c r="E471" s="1"/>
      <c r="G471" s="6" t="s">
        <v>19</v>
      </c>
      <c r="H471" s="12">
        <f>SUM(H469:H470)</f>
        <v>76759438.60999997</v>
      </c>
      <c r="I471" s="3"/>
    </row>
    <row r="472" spans="1:9" s="6" customFormat="1" x14ac:dyDescent="0.25">
      <c r="E472" s="1"/>
      <c r="H472" s="1"/>
      <c r="I472" s="3"/>
    </row>
    <row r="473" spans="1:9" s="6" customFormat="1" x14ac:dyDescent="0.25">
      <c r="A473" s="5" t="s">
        <v>26</v>
      </c>
      <c r="C473" s="6" t="s">
        <v>0</v>
      </c>
      <c r="D473" s="6" t="s">
        <v>1</v>
      </c>
      <c r="E473" s="6" t="s">
        <v>16</v>
      </c>
      <c r="F473" s="3"/>
    </row>
    <row r="474" spans="1:9" s="6" customFormat="1" x14ac:dyDescent="0.25">
      <c r="B474" s="6">
        <v>467600</v>
      </c>
      <c r="C474" s="1">
        <f>IFERROR(INDEX('Balance des comptes'!$O:$O,MATCH('2026'!B474,'Balance des comptes'!$A:$A,0)),0)</f>
        <v>0</v>
      </c>
      <c r="D474" s="1">
        <f>IFERROR(INDEX('Balance des comptes'!$R:$R,MATCH('2026'!B474,'Balance des comptes'!$A:$A,0)),0)</f>
        <v>0</v>
      </c>
      <c r="E474" s="1">
        <f>+C474-D474</f>
        <v>0</v>
      </c>
      <c r="F474" s="1"/>
      <c r="H474" s="3"/>
    </row>
    <row r="475" spans="1:9" s="6" customFormat="1" x14ac:dyDescent="0.25">
      <c r="B475" s="6">
        <v>460600</v>
      </c>
      <c r="C475" s="1">
        <f>IFERROR(INDEX('Balance des comptes'!$O:$O,MATCH('2026'!B475,'Balance des comptes'!$A:$A,0)),0)</f>
        <v>0</v>
      </c>
      <c r="D475" s="1">
        <f>IFERROR(INDEX('Balance des comptes'!$R:$R,MATCH('2026'!B475,'Balance des comptes'!$A:$A,0)),0)</f>
        <v>0</v>
      </c>
      <c r="E475" s="1">
        <f>+C475-D475</f>
        <v>0</v>
      </c>
      <c r="F475" s="1"/>
    </row>
    <row r="476" spans="1:9" s="6" customFormat="1" x14ac:dyDescent="0.25">
      <c r="B476" s="6">
        <v>461600</v>
      </c>
      <c r="C476" s="1">
        <f>IFERROR(INDEX('Balance des comptes'!$O:$O,MATCH('2026'!B476,'Balance des comptes'!$A:$A,0)),0)</f>
        <v>0</v>
      </c>
      <c r="D476" s="1">
        <f>IFERROR(INDEX('Balance des comptes'!$R:$R,MATCH('2026'!B476,'Balance des comptes'!$A:$A,0)),0)</f>
        <v>0</v>
      </c>
      <c r="E476" s="1">
        <f>+C476-D476</f>
        <v>0</v>
      </c>
      <c r="G476" s="1"/>
      <c r="H476" s="1"/>
    </row>
    <row r="477" spans="1:9" s="6" customFormat="1" x14ac:dyDescent="0.25">
      <c r="B477" s="6">
        <v>462600</v>
      </c>
      <c r="C477" s="1">
        <f>IFERROR(INDEX('Balance des comptes'!$O:$O,MATCH('2026'!B477,'Balance des comptes'!$A:$A,0)),0)</f>
        <v>0</v>
      </c>
      <c r="D477" s="1">
        <f>IFERROR(INDEX('Balance des comptes'!$R:$R,MATCH('2026'!B477,'Balance des comptes'!$A:$A,0)),0)</f>
        <v>0</v>
      </c>
      <c r="E477" s="1">
        <f>+C477-D477</f>
        <v>0</v>
      </c>
      <c r="F477" s="9"/>
      <c r="G477" s="3"/>
      <c r="H477" s="3"/>
    </row>
    <row r="478" spans="1:9" s="6" customFormat="1" x14ac:dyDescent="0.25">
      <c r="B478" s="6" t="s">
        <v>17</v>
      </c>
      <c r="C478" s="1">
        <f>SUM(C474:C477)</f>
        <v>0</v>
      </c>
      <c r="D478" s="1">
        <f>SUM(D474:D477)</f>
        <v>0</v>
      </c>
      <c r="E478" s="1">
        <f>SUM(E474:E477)</f>
        <v>0</v>
      </c>
      <c r="F478" s="26"/>
      <c r="G478" s="3"/>
      <c r="H478" s="3"/>
    </row>
    <row r="479" spans="1:9" s="6" customFormat="1" x14ac:dyDescent="0.25">
      <c r="B479" s="6">
        <v>512600</v>
      </c>
      <c r="C479" s="1">
        <f>IFERROR(INDEX('Balance des comptes'!$O:$O,MATCH('2026'!B479,'Balance des comptes'!$A:$A,0)),0)</f>
        <v>68893135.589999974</v>
      </c>
      <c r="D479" s="1">
        <f>IFERROR(INDEX('Balance des comptes'!$R:$R,MATCH('2026'!B479,'Balance des comptes'!$A:$A,0)),0)</f>
        <v>0</v>
      </c>
      <c r="E479" s="1">
        <f>+C479-D479</f>
        <v>68893135.589999974</v>
      </c>
      <c r="G479" s="3"/>
    </row>
    <row r="480" spans="1:9" s="6" customFormat="1" x14ac:dyDescent="0.25">
      <c r="B480" s="6" t="s">
        <v>18</v>
      </c>
      <c r="C480" s="1">
        <f>SUM(C479:C479)</f>
        <v>68893135.589999974</v>
      </c>
      <c r="D480" s="1">
        <f>SUM(D479:D479)</f>
        <v>0</v>
      </c>
      <c r="E480" s="1">
        <f>SUM(E479:E479)</f>
        <v>68893135.589999974</v>
      </c>
      <c r="F480" s="3"/>
      <c r="G480" s="3"/>
    </row>
    <row r="481" spans="1:10" s="6" customFormat="1" x14ac:dyDescent="0.25"/>
    <row r="482" spans="1:10" s="6" customFormat="1" x14ac:dyDescent="0.25">
      <c r="B482" s="6" t="s">
        <v>19</v>
      </c>
      <c r="E482" s="12">
        <f>+E478+E480</f>
        <v>68893135.589999974</v>
      </c>
      <c r="F482" s="3"/>
    </row>
    <row r="483" spans="1:10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s="6" customFormat="1" x14ac:dyDescent="0.25">
      <c r="A484"/>
      <c r="B484"/>
      <c r="C484"/>
      <c r="D484"/>
      <c r="E484"/>
      <c r="F484"/>
      <c r="G484"/>
      <c r="H484"/>
      <c r="I484"/>
      <c r="J484"/>
    </row>
    <row r="485" spans="1:10" s="6" customFormat="1" x14ac:dyDescent="0.25">
      <c r="A485" s="5" t="s">
        <v>113</v>
      </c>
      <c r="C485" s="6" t="s">
        <v>0</v>
      </c>
      <c r="D485" s="6" t="s">
        <v>1</v>
      </c>
      <c r="E485" s="6" t="s">
        <v>16</v>
      </c>
      <c r="I485" s="3"/>
    </row>
    <row r="486" spans="1:10" s="6" customFormat="1" x14ac:dyDescent="0.25">
      <c r="B486" s="6">
        <v>467800</v>
      </c>
      <c r="C486" s="1">
        <f>IFERROR(INDEX('Balance des comptes'!$O:$O,MATCH('2026'!B486,'Balance des comptes'!$A:$A,0)),0)</f>
        <v>8810211.0000000596</v>
      </c>
      <c r="D486" s="1">
        <f>IFERROR(INDEX('Balance des comptes'!$R:$R,MATCH('2026'!B486,'Balance des comptes'!$A:$A,0)),0)</f>
        <v>0</v>
      </c>
      <c r="E486" s="1">
        <f>+C486-D486</f>
        <v>8810211.0000000596</v>
      </c>
      <c r="I486" s="3"/>
    </row>
    <row r="487" spans="1:10" s="6" customFormat="1" x14ac:dyDescent="0.25">
      <c r="B487" s="6">
        <v>460800</v>
      </c>
      <c r="C487" s="1">
        <f>IFERROR(INDEX('Balance des comptes'!$O:$O,MATCH('2026'!B487,'Balance des comptes'!$A:$A,0)),0)</f>
        <v>0</v>
      </c>
      <c r="D487" s="1">
        <f>IFERROR(INDEX('Balance des comptes'!$R:$R,MATCH('2026'!B487,'Balance des comptes'!$A:$A,0)),0)</f>
        <v>19500000</v>
      </c>
      <c r="E487" s="1">
        <f>+C487-D487</f>
        <v>-19500000</v>
      </c>
      <c r="G487" s="6" t="s">
        <v>17</v>
      </c>
      <c r="H487" s="3">
        <f>+E490+E500+E507</f>
        <v>-7268419.9999999404</v>
      </c>
      <c r="I487" s="3"/>
    </row>
    <row r="488" spans="1:10" s="6" customFormat="1" x14ac:dyDescent="0.25">
      <c r="B488" s="6">
        <v>461800</v>
      </c>
      <c r="C488" s="1">
        <f>IFERROR(INDEX('Balance des comptes'!$O:$O,MATCH('2026'!B488,'Balance des comptes'!$A:$A,0)),0)</f>
        <v>0</v>
      </c>
      <c r="D488" s="1">
        <f>IFERROR(INDEX('Balance des comptes'!$R:$R,MATCH('2026'!B488,'Balance des comptes'!$A:$A,0)),0)</f>
        <v>0</v>
      </c>
      <c r="E488" s="1">
        <f>+C488-D488</f>
        <v>0</v>
      </c>
      <c r="G488" s="6" t="s">
        <v>18</v>
      </c>
      <c r="H488" s="3">
        <f>+E492</f>
        <v>20709000.670000002</v>
      </c>
    </row>
    <row r="489" spans="1:10" s="6" customFormat="1" x14ac:dyDescent="0.25">
      <c r="B489" s="6">
        <v>462800</v>
      </c>
      <c r="C489" s="1">
        <f>IFERROR(INDEX('Balance des comptes'!$O:$O,MATCH('2026'!B489,'Balance des comptes'!$A:$A,0)),0)</f>
        <v>0</v>
      </c>
      <c r="D489" s="1">
        <f>IFERROR(INDEX('Balance des comptes'!$R:$R,MATCH('2026'!B489,'Balance des comptes'!$A:$A,0)),0)</f>
        <v>0</v>
      </c>
      <c r="E489" s="1">
        <f>+C489-D489</f>
        <v>0</v>
      </c>
      <c r="G489" s="6" t="s">
        <v>19</v>
      </c>
      <c r="H489" s="12">
        <f>SUM(H487:H488)</f>
        <v>13440580.670000061</v>
      </c>
    </row>
    <row r="490" spans="1:10" s="6" customFormat="1" x14ac:dyDescent="0.25">
      <c r="B490" s="6" t="s">
        <v>17</v>
      </c>
      <c r="C490" s="1">
        <f>SUM(C486:C489)</f>
        <v>8810211.0000000596</v>
      </c>
      <c r="D490" s="1">
        <f>SUM(D486:D489)</f>
        <v>19500000</v>
      </c>
      <c r="E490" s="1">
        <f>SUM(E486:E489)</f>
        <v>-10689788.99999994</v>
      </c>
      <c r="F490" s="1"/>
    </row>
    <row r="491" spans="1:10" s="6" customFormat="1" x14ac:dyDescent="0.25">
      <c r="B491" s="6">
        <v>512800</v>
      </c>
      <c r="C491" s="1">
        <f>IFERROR(INDEX('Balance des comptes'!$O:$O,MATCH('2026'!B491,'Balance des comptes'!$A:$A,0)),0)</f>
        <v>20709000.670000002</v>
      </c>
      <c r="D491" s="1">
        <f>IFERROR(INDEX('Balance des comptes'!$R:$R,MATCH('2026'!B491,'Balance des comptes'!$A:$A,0)),0)</f>
        <v>0</v>
      </c>
      <c r="E491" s="1">
        <f>+C491-D491</f>
        <v>20709000.670000002</v>
      </c>
    </row>
    <row r="492" spans="1:10" s="6" customFormat="1" x14ac:dyDescent="0.25">
      <c r="B492" s="6" t="s">
        <v>18</v>
      </c>
      <c r="C492" s="1">
        <f>SUM(C491:C491)</f>
        <v>20709000.670000002</v>
      </c>
      <c r="D492" s="1">
        <f>SUM(D491:D491)</f>
        <v>0</v>
      </c>
      <c r="E492" s="1">
        <f>SUM(E491)</f>
        <v>20709000.670000002</v>
      </c>
    </row>
    <row r="493" spans="1:10" s="6" customFormat="1" x14ac:dyDescent="0.25">
      <c r="E493" s="3"/>
    </row>
    <row r="494" spans="1:10" s="6" customFormat="1" x14ac:dyDescent="0.25">
      <c r="B494" s="6" t="s">
        <v>19</v>
      </c>
      <c r="E494" s="3">
        <f>+E490+E492</f>
        <v>10019211.670000061</v>
      </c>
    </row>
    <row r="495" spans="1:10" s="6" customFormat="1" x14ac:dyDescent="0.25">
      <c r="A495" s="5" t="s">
        <v>115</v>
      </c>
      <c r="C495" s="6" t="s">
        <v>0</v>
      </c>
      <c r="D495" s="6" t="s">
        <v>1</v>
      </c>
      <c r="E495" s="6" t="s">
        <v>16</v>
      </c>
    </row>
    <row r="496" spans="1:10" s="6" customFormat="1" x14ac:dyDescent="0.25">
      <c r="B496" s="6">
        <v>467801</v>
      </c>
      <c r="C496" s="1">
        <f>IFERROR(INDEX('Balance des comptes'!$O:$O,MATCH('2026'!B496,'Balance des comptes'!$A:$A,0)),0)</f>
        <v>8852298</v>
      </c>
      <c r="D496" s="1">
        <f>IFERROR(INDEX('Balance des comptes'!$R:$R,MATCH('2026'!B496,'Balance des comptes'!$A:$A,0)),0)</f>
        <v>0</v>
      </c>
      <c r="E496" s="1">
        <f>+C496-D496</f>
        <v>8852298</v>
      </c>
    </row>
    <row r="497" spans="1:10" s="6" customFormat="1" x14ac:dyDescent="0.25">
      <c r="B497" s="6">
        <v>460801</v>
      </c>
      <c r="C497" s="1">
        <f>IFERROR(INDEX('Balance des comptes'!$O:$O,MATCH('2026'!B497,'Balance des comptes'!$A:$A,0)),0)</f>
        <v>0</v>
      </c>
      <c r="D497" s="1">
        <f>IFERROR(INDEX('Balance des comptes'!$R:$R,MATCH('2026'!B497,'Balance des comptes'!$A:$A,0)),0)</f>
        <v>0</v>
      </c>
      <c r="E497" s="1">
        <f>+C497-D497</f>
        <v>0</v>
      </c>
    </row>
    <row r="498" spans="1:10" s="6" customFormat="1" x14ac:dyDescent="0.25">
      <c r="B498" s="6">
        <v>461801</v>
      </c>
      <c r="C498" s="1">
        <f>IFERROR(INDEX('Balance des comptes'!$O:$O,MATCH('2026'!B498,'Balance des comptes'!$A:$A,0)),0)</f>
        <v>0</v>
      </c>
      <c r="D498" s="1">
        <f>IFERROR(INDEX('Balance des comptes'!$R:$R,MATCH('2026'!B498,'Balance des comptes'!$A:$A,0)),0)</f>
        <v>0</v>
      </c>
      <c r="E498" s="1">
        <f>+C498-D498</f>
        <v>0</v>
      </c>
    </row>
    <row r="499" spans="1:10" s="6" customFormat="1" x14ac:dyDescent="0.25">
      <c r="B499" s="6">
        <v>462801</v>
      </c>
      <c r="C499" s="1">
        <f>IFERROR(INDEX('Balance des comptes'!$O:$O,MATCH('2026'!B499,'Balance des comptes'!$A:$A,0)),0)</f>
        <v>0</v>
      </c>
      <c r="D499" s="1">
        <f>IFERROR(INDEX('Balance des comptes'!$R:$R,MATCH('2026'!B499,'Balance des comptes'!$A:$A,0)),0)</f>
        <v>0</v>
      </c>
      <c r="E499" s="1">
        <f>+C499-D499</f>
        <v>0</v>
      </c>
      <c r="G499" s="3"/>
    </row>
    <row r="500" spans="1:10" s="6" customFormat="1" x14ac:dyDescent="0.25">
      <c r="B500" s="6" t="s">
        <v>17</v>
      </c>
      <c r="C500" s="1">
        <f>SUM(C496:C499)</f>
        <v>8852298</v>
      </c>
      <c r="D500" s="1">
        <f>SUM(D496:D499)</f>
        <v>0</v>
      </c>
      <c r="E500" s="1">
        <f>SUM(E496:E499)</f>
        <v>8852298</v>
      </c>
      <c r="F500" s="1"/>
    </row>
    <row r="501" spans="1:10" s="6" customFormat="1" x14ac:dyDescent="0.25">
      <c r="C501" s="1"/>
      <c r="D501" s="1"/>
      <c r="E501" s="1"/>
      <c r="F501" s="1"/>
    </row>
    <row r="502" spans="1:10" s="6" customFormat="1" x14ac:dyDescent="0.25">
      <c r="A502" s="5" t="s">
        <v>122</v>
      </c>
      <c r="C502" s="6" t="s">
        <v>0</v>
      </c>
      <c r="D502" s="6" t="s">
        <v>1</v>
      </c>
      <c r="E502" s="6" t="s">
        <v>16</v>
      </c>
    </row>
    <row r="503" spans="1:10" s="6" customFormat="1" x14ac:dyDescent="0.25">
      <c r="B503" s="6">
        <v>467810</v>
      </c>
      <c r="C503" s="1">
        <f>IFERROR(INDEX('Balance des comptes'!$O:$O,MATCH('2026'!B503,'Balance des comptes'!$A:$A,0)),0)</f>
        <v>0</v>
      </c>
      <c r="D503" s="1">
        <f>IFERROR(INDEX('Balance des comptes'!$R:$R,MATCH('2026'!B503,'Balance des comptes'!$A:$A,0)),0)</f>
        <v>5430929</v>
      </c>
      <c r="E503" s="3">
        <f>+C503-D503</f>
        <v>-5430929</v>
      </c>
    </row>
    <row r="504" spans="1:10" s="6" customFormat="1" x14ac:dyDescent="0.25">
      <c r="B504" s="6">
        <v>460810</v>
      </c>
      <c r="C504" s="1">
        <f>IFERROR(INDEX('Balance des comptes'!$O:$O,MATCH('2026'!B504,'Balance des comptes'!$A:$A,0)),0)</f>
        <v>0</v>
      </c>
      <c r="D504" s="1">
        <f>IFERROR(INDEX('Balance des comptes'!$R:$R,MATCH('2026'!B504,'Balance des comptes'!$A:$A,0)),0)</f>
        <v>0</v>
      </c>
      <c r="E504" s="3">
        <f>+C504-D504</f>
        <v>0</v>
      </c>
    </row>
    <row r="505" spans="1:10" s="6" customFormat="1" x14ac:dyDescent="0.25">
      <c r="B505" s="6">
        <v>461810</v>
      </c>
      <c r="C505" s="1">
        <f>IFERROR(INDEX('Balance des comptes'!$O:$O,MATCH('2026'!B505,'Balance des comptes'!$A:$A,0)),0)</f>
        <v>0</v>
      </c>
      <c r="D505" s="1">
        <f>IFERROR(INDEX('Balance des comptes'!$R:$R,MATCH('2026'!B505,'Balance des comptes'!$A:$A,0)),0)</f>
        <v>0</v>
      </c>
      <c r="E505" s="3">
        <f>+C505-D505</f>
        <v>0</v>
      </c>
    </row>
    <row r="506" spans="1:10" s="6" customFormat="1" x14ac:dyDescent="0.25">
      <c r="B506" s="6">
        <v>462810</v>
      </c>
      <c r="C506" s="1">
        <f>IFERROR(INDEX('Balance des comptes'!$O:$O,MATCH('2026'!B506,'Balance des comptes'!$A:$A,0)),0)</f>
        <v>0</v>
      </c>
      <c r="D506" s="1">
        <f>IFERROR(INDEX('Balance des comptes'!$R:$R,MATCH('2026'!B506,'Balance des comptes'!$A:$A,0)),0)</f>
        <v>0</v>
      </c>
      <c r="E506" s="3">
        <f>+C506-D506</f>
        <v>0</v>
      </c>
    </row>
    <row r="507" spans="1:10" s="6" customFormat="1" x14ac:dyDescent="0.25">
      <c r="B507" s="6" t="s">
        <v>17</v>
      </c>
      <c r="C507" s="1">
        <f>SUM(C503:C506)</f>
        <v>0</v>
      </c>
      <c r="D507" s="1">
        <f>SUM(D503:D506)</f>
        <v>5430929</v>
      </c>
      <c r="E507" s="3">
        <f>SUM(E503:E506)</f>
        <v>-5430929</v>
      </c>
    </row>
    <row r="508" spans="1:10" s="6" customFormat="1" x14ac:dyDescent="0.25">
      <c r="A508"/>
      <c r="B508"/>
      <c r="C508"/>
      <c r="D508"/>
      <c r="E508"/>
      <c r="F508"/>
      <c r="G508"/>
      <c r="H508"/>
      <c r="I508"/>
      <c r="J508"/>
    </row>
    <row r="509" spans="1:10" s="6" customFormat="1" x14ac:dyDescent="0.25">
      <c r="A509" s="5" t="s">
        <v>114</v>
      </c>
      <c r="C509" s="6" t="s">
        <v>0</v>
      </c>
      <c r="D509" s="6" t="s">
        <v>1</v>
      </c>
      <c r="E509" s="6" t="s">
        <v>16</v>
      </c>
      <c r="I509" s="1"/>
    </row>
    <row r="510" spans="1:10" s="6" customFormat="1" x14ac:dyDescent="0.25">
      <c r="B510" s="6">
        <v>467900</v>
      </c>
      <c r="C510" s="1">
        <f>IFERROR(INDEX('Balance des comptes'!$O:$O,MATCH('2026'!B510,'Balance des comptes'!$A:$A,0)),0)</f>
        <v>881176.93999862671</v>
      </c>
      <c r="D510" s="1">
        <f>IFERROR(INDEX('Balance des comptes'!$R:$R,MATCH('2026'!B510,'Balance des comptes'!$A:$A,0)),0)</f>
        <v>0</v>
      </c>
      <c r="E510" s="1">
        <f>+C510-D510</f>
        <v>881176.93999862671</v>
      </c>
    </row>
    <row r="511" spans="1:10" s="6" customFormat="1" x14ac:dyDescent="0.25">
      <c r="B511" s="6">
        <v>460900</v>
      </c>
      <c r="C511" s="1">
        <f>IFERROR(INDEX('Balance des comptes'!$O:$O,MATCH('2026'!B511,'Balance des comptes'!$A:$A,0)),0)</f>
        <v>0</v>
      </c>
      <c r="D511" s="1">
        <f>IFERROR(INDEX('Balance des comptes'!$R:$R,MATCH('2026'!B511,'Balance des comptes'!$A:$A,0)),0)</f>
        <v>0</v>
      </c>
      <c r="E511" s="1">
        <f>+C511-D511</f>
        <v>0</v>
      </c>
    </row>
    <row r="512" spans="1:10" s="6" customFormat="1" x14ac:dyDescent="0.25">
      <c r="B512" s="6">
        <v>461900</v>
      </c>
      <c r="C512" s="1">
        <f>IFERROR(INDEX('Balance des comptes'!$O:$O,MATCH('2026'!B512,'Balance des comptes'!$A:$A,0)),0)</f>
        <v>0</v>
      </c>
      <c r="D512" s="1">
        <f>IFERROR(INDEX('Balance des comptes'!$R:$R,MATCH('2026'!B512,'Balance des comptes'!$A:$A,0)),0)</f>
        <v>0</v>
      </c>
      <c r="E512" s="1">
        <f>+C512-D512</f>
        <v>0</v>
      </c>
      <c r="I512" s="3"/>
    </row>
    <row r="513" spans="1:12" s="6" customFormat="1" x14ac:dyDescent="0.25">
      <c r="B513" s="6">
        <v>462900</v>
      </c>
      <c r="C513" s="1">
        <f>IFERROR(INDEX('Balance des comptes'!$O:$O,MATCH('2026'!B513,'Balance des comptes'!$A:$A,0)),0)</f>
        <v>0</v>
      </c>
      <c r="D513" s="1">
        <f>IFERROR(INDEX('Balance des comptes'!$R:$R,MATCH('2026'!B513,'Balance des comptes'!$A:$A,0)),0)</f>
        <v>0</v>
      </c>
      <c r="E513" s="1">
        <f>+C513-D513</f>
        <v>0</v>
      </c>
      <c r="G513" s="3"/>
    </row>
    <row r="514" spans="1:12" s="6" customFormat="1" x14ac:dyDescent="0.25">
      <c r="B514" s="6" t="s">
        <v>17</v>
      </c>
      <c r="C514" s="1">
        <f>SUM(C510:C513)</f>
        <v>881176.93999862671</v>
      </c>
      <c r="D514" s="1">
        <f>SUM(D510:D513)</f>
        <v>0</v>
      </c>
      <c r="E514" s="1">
        <f>SUM(E510:E513)</f>
        <v>881176.93999862671</v>
      </c>
      <c r="F514" s="1"/>
      <c r="G514" s="3"/>
    </row>
    <row r="515" spans="1:12" s="6" customFormat="1" x14ac:dyDescent="0.25">
      <c r="B515" s="6">
        <v>512900</v>
      </c>
      <c r="C515" s="1">
        <f>IFERROR(INDEX('Balance des comptes'!$O:$O,MATCH('2026'!B515,'Balance des comptes'!$A:$A,0)),0)</f>
        <v>598962.96000003815</v>
      </c>
      <c r="D515" s="1">
        <f>IFERROR(INDEX('Balance des comptes'!$R:$R,MATCH('2026'!B515,'Balance des comptes'!$A:$A,0)),0)</f>
        <v>0</v>
      </c>
      <c r="E515" s="1">
        <f>+C515-D515</f>
        <v>598962.96000003815</v>
      </c>
    </row>
    <row r="516" spans="1:12" s="6" customFormat="1" ht="15" customHeight="1" x14ac:dyDescent="0.25">
      <c r="B516" s="6" t="s">
        <v>18</v>
      </c>
      <c r="C516" s="1">
        <f>SUM(C515:C515)</f>
        <v>598962.96000003815</v>
      </c>
      <c r="D516" s="1">
        <f>SUM(D515:D515)</f>
        <v>0</v>
      </c>
      <c r="E516" s="1">
        <f>SUM(E515:E515)</f>
        <v>598962.96000003815</v>
      </c>
      <c r="G516" s="3"/>
      <c r="H516" s="1"/>
    </row>
    <row r="517" spans="1:12" s="6" customFormat="1" x14ac:dyDescent="0.25">
      <c r="E517" s="3"/>
      <c r="G517" s="3"/>
      <c r="H517" s="3"/>
    </row>
    <row r="518" spans="1:12" x14ac:dyDescent="0.25">
      <c r="A518" s="6"/>
      <c r="B518" s="6" t="s">
        <v>19</v>
      </c>
      <c r="C518" s="6"/>
      <c r="D518" s="6"/>
      <c r="E518" s="12">
        <f>+E514+E516</f>
        <v>1480139.8999986649</v>
      </c>
      <c r="F518" s="17"/>
      <c r="G518" s="1"/>
      <c r="H518" s="3"/>
      <c r="I518" s="6"/>
      <c r="J518" s="6"/>
      <c r="K518" s="22"/>
      <c r="L518" s="23"/>
    </row>
    <row r="519" spans="1:12" x14ac:dyDescent="0.25">
      <c r="A519" s="22"/>
      <c r="B519" s="22"/>
      <c r="C519" s="22"/>
      <c r="D519" s="22"/>
      <c r="E519" s="22"/>
      <c r="F519" s="22"/>
      <c r="G519" s="22"/>
      <c r="H519" s="22"/>
      <c r="I519" s="23"/>
      <c r="J519" s="22"/>
    </row>
    <row r="520" spans="1:12" s="6" customFormat="1" x14ac:dyDescent="0.25">
      <c r="A520"/>
      <c r="B520"/>
      <c r="C520"/>
      <c r="D520"/>
      <c r="E520"/>
      <c r="F520"/>
      <c r="G520"/>
      <c r="H520"/>
      <c r="I520"/>
      <c r="J520"/>
    </row>
    <row r="521" spans="1:12" s="6" customFormat="1" x14ac:dyDescent="0.25">
      <c r="A521" s="5" t="s">
        <v>52</v>
      </c>
      <c r="C521" s="6" t="s">
        <v>0</v>
      </c>
      <c r="D521" s="6" t="s">
        <v>1</v>
      </c>
      <c r="E521" s="6" t="s">
        <v>16</v>
      </c>
    </row>
    <row r="522" spans="1:12" s="6" customFormat="1" x14ac:dyDescent="0.25">
      <c r="B522" s="6">
        <v>467910</v>
      </c>
      <c r="C522" s="1">
        <f>IFERROR(INDEX('Balance des comptes'!$O:$O,MATCH('2026'!B522,'Balance des comptes'!$A:$A,0)),0)</f>
        <v>0</v>
      </c>
      <c r="D522" s="1">
        <f>IFERROR(INDEX('Balance des comptes'!$R:$R,MATCH('2026'!B522,'Balance des comptes'!$A:$A,0)),0)</f>
        <v>61151391.450000048</v>
      </c>
      <c r="E522" s="3">
        <f>+C522-D522</f>
        <v>-61151391.450000048</v>
      </c>
      <c r="G522" s="10"/>
    </row>
    <row r="523" spans="1:12" s="6" customFormat="1" x14ac:dyDescent="0.25">
      <c r="B523" s="6">
        <v>460910</v>
      </c>
      <c r="C523" s="1">
        <f>IFERROR(INDEX('Balance des comptes'!$O:$O,MATCH('2026'!B523,'Balance des comptes'!$A:$A,0)),0)</f>
        <v>0</v>
      </c>
      <c r="D523" s="1">
        <f>IFERROR(INDEX('Balance des comptes'!$R:$R,MATCH('2026'!B523,'Balance des comptes'!$A:$A,0)),0)</f>
        <v>9900670.469999969</v>
      </c>
      <c r="E523" s="3">
        <f>+C523-D523</f>
        <v>-9900670.469999969</v>
      </c>
    </row>
    <row r="524" spans="1:12" s="6" customFormat="1" x14ac:dyDescent="0.25">
      <c r="B524" s="6">
        <v>461910</v>
      </c>
      <c r="C524" s="1">
        <f>IFERROR(INDEX('Balance des comptes'!$O:$O,MATCH('2026'!B524,'Balance des comptes'!$A:$A,0)),0)</f>
        <v>0</v>
      </c>
      <c r="D524" s="1">
        <f>IFERROR(INDEX('Balance des comptes'!$R:$R,MATCH('2026'!B524,'Balance des comptes'!$A:$A,0)),0)</f>
        <v>0</v>
      </c>
      <c r="E524" s="3">
        <f>+C524-D524</f>
        <v>0</v>
      </c>
    </row>
    <row r="525" spans="1:12" s="6" customFormat="1" x14ac:dyDescent="0.25">
      <c r="B525" s="6">
        <v>462910</v>
      </c>
      <c r="C525" s="1">
        <f>IFERROR(INDEX('Balance des comptes'!$O:$O,MATCH('2026'!B525,'Balance des comptes'!$A:$A,0)),0)</f>
        <v>0</v>
      </c>
      <c r="D525" s="1">
        <f>IFERROR(INDEX('Balance des comptes'!$R:$R,MATCH('2026'!B525,'Balance des comptes'!$A:$A,0)),0)</f>
        <v>1219767</v>
      </c>
      <c r="E525" s="3">
        <f>+C525-D525</f>
        <v>-1219767</v>
      </c>
    </row>
    <row r="526" spans="1:12" s="6" customFormat="1" x14ac:dyDescent="0.25">
      <c r="B526" s="6" t="s">
        <v>17</v>
      </c>
      <c r="C526" s="1">
        <f>SUM(C522:C525)</f>
        <v>0</v>
      </c>
      <c r="D526" s="1">
        <f>SUM(D522:D525)</f>
        <v>72271828.920000017</v>
      </c>
      <c r="E526" s="3">
        <f>SUM(E522:E525)</f>
        <v>-72271828.920000017</v>
      </c>
    </row>
    <row r="527" spans="1:12" s="6" customFormat="1" x14ac:dyDescent="0.25">
      <c r="B527" s="6">
        <v>512910</v>
      </c>
      <c r="C527" s="1">
        <f>IFERROR(INDEX('Balance des comptes'!$O:$O,MATCH('2026'!B527,'Balance des comptes'!$A:$A,0)),0)</f>
        <v>75476472.920000017</v>
      </c>
      <c r="D527" s="1">
        <f>IFERROR(INDEX('Balance des comptes'!$R:$R,MATCH('2026'!B527,'Balance des comptes'!$A:$A,0)),0)</f>
        <v>0</v>
      </c>
      <c r="E527" s="3">
        <f>+C527-D527</f>
        <v>75476472.920000017</v>
      </c>
      <c r="J527" s="1"/>
    </row>
    <row r="528" spans="1:12" s="6" customFormat="1" ht="15" customHeight="1" x14ac:dyDescent="0.25">
      <c r="B528" s="6" t="s">
        <v>18</v>
      </c>
      <c r="C528" s="1">
        <f>SUM(C527:C527)</f>
        <v>75476472.920000017</v>
      </c>
      <c r="D528" s="1">
        <f>SUM(D527:D527)</f>
        <v>0</v>
      </c>
      <c r="E528" s="3">
        <f>SUM(E527:E527)</f>
        <v>75476472.920000017</v>
      </c>
      <c r="J528" s="1"/>
    </row>
    <row r="529" spans="1:10" s="6" customFormat="1" x14ac:dyDescent="0.25">
      <c r="E529" s="3"/>
      <c r="G529" s="1"/>
      <c r="H529" s="3"/>
    </row>
    <row r="530" spans="1:10" x14ac:dyDescent="0.25">
      <c r="A530" s="6"/>
      <c r="B530" s="6" t="s">
        <v>19</v>
      </c>
      <c r="C530" s="6"/>
      <c r="D530" s="6"/>
      <c r="E530" s="12">
        <f>+E526+E528</f>
        <v>3204644</v>
      </c>
      <c r="F530" s="17"/>
      <c r="G530" s="1"/>
      <c r="H530" s="3"/>
      <c r="I530" s="6"/>
      <c r="J530" s="6"/>
    </row>
    <row r="532" spans="1:10" s="6" customFormat="1" x14ac:dyDescent="0.25">
      <c r="A532" s="5" t="s">
        <v>188</v>
      </c>
      <c r="C532" s="6" t="s">
        <v>0</v>
      </c>
      <c r="D532" s="6" t="s">
        <v>1</v>
      </c>
      <c r="E532" s="6" t="s">
        <v>16</v>
      </c>
    </row>
    <row r="533" spans="1:10" s="6" customFormat="1" x14ac:dyDescent="0.25">
      <c r="B533" s="6">
        <v>467501</v>
      </c>
      <c r="C533" s="1">
        <f>IFERROR(INDEX('Balance des comptes'!$O:$O,MATCH('2026'!B533,'Balance des comptes'!$A:$A,0)),0)</f>
        <v>0</v>
      </c>
      <c r="D533" s="1">
        <f>IFERROR(INDEX('Balance des comptes'!$R:$R,MATCH('2026'!B533,'Balance des comptes'!$A:$A,0)),0)</f>
        <v>146380630.64000005</v>
      </c>
      <c r="E533" s="3">
        <f>+C533-D533</f>
        <v>-146380630.64000005</v>
      </c>
    </row>
    <row r="534" spans="1:10" s="6" customFormat="1" x14ac:dyDescent="0.25">
      <c r="B534" s="6">
        <v>460501</v>
      </c>
      <c r="C534" s="1">
        <f>IFERROR(INDEX('Balance des comptes'!$O:$O,MATCH('2026'!B534,'Balance des comptes'!$A:$A,0)),0)</f>
        <v>0</v>
      </c>
      <c r="D534" s="1">
        <f>IFERROR(INDEX('Balance des comptes'!$R:$R,MATCH('2026'!B534,'Balance des comptes'!$A:$A,0)),0)</f>
        <v>0</v>
      </c>
      <c r="E534" s="3">
        <f>+C534-D534</f>
        <v>0</v>
      </c>
    </row>
    <row r="535" spans="1:10" s="6" customFormat="1" x14ac:dyDescent="0.25">
      <c r="B535" s="6">
        <v>461501</v>
      </c>
      <c r="C535" s="1">
        <f>IFERROR(INDEX('Balance des comptes'!$O:$O,MATCH('2026'!B535,'Balance des comptes'!$A:$A,0)),0)</f>
        <v>0</v>
      </c>
      <c r="D535" s="1">
        <f>IFERROR(INDEX('Balance des comptes'!$R:$R,MATCH('2026'!B535,'Balance des comptes'!$A:$A,0)),0)</f>
        <v>0</v>
      </c>
      <c r="E535" s="3">
        <f>+C535-D535</f>
        <v>0</v>
      </c>
    </row>
    <row r="536" spans="1:10" s="6" customFormat="1" x14ac:dyDescent="0.25">
      <c r="B536" s="6">
        <v>462501</v>
      </c>
      <c r="C536" s="1">
        <f>IFERROR(INDEX('Balance des comptes'!$O:$O,MATCH('2026'!B536,'Balance des comptes'!$A:$A,0)),0)</f>
        <v>0</v>
      </c>
      <c r="D536" s="1">
        <f>IFERROR(INDEX('Balance des comptes'!$R:$R,MATCH('2026'!B536,'Balance des comptes'!$A:$A,0)),0)</f>
        <v>0</v>
      </c>
      <c r="E536" s="3">
        <f>+C536-D536</f>
        <v>0</v>
      </c>
    </row>
    <row r="537" spans="1:10" s="6" customFormat="1" x14ac:dyDescent="0.25">
      <c r="B537" s="6" t="s">
        <v>17</v>
      </c>
      <c r="C537" s="1">
        <f>SUM(C533:C536)</f>
        <v>0</v>
      </c>
      <c r="D537" s="1">
        <f>SUM(D533:D536)</f>
        <v>146380630.64000005</v>
      </c>
      <c r="E537" s="3">
        <f>SUM(E533:E536)</f>
        <v>-146380630.64000005</v>
      </c>
    </row>
    <row r="538" spans="1:10" s="6" customFormat="1" x14ac:dyDescent="0.25">
      <c r="B538" s="6">
        <v>512501</v>
      </c>
      <c r="C538" s="1">
        <f>IFERROR(INDEX('Balance des comptes'!$O:$O,MATCH('2026'!B538,'Balance des comptes'!$A:$A,0)),0)</f>
        <v>41830601.480000019</v>
      </c>
      <c r="D538" s="1">
        <f>IFERROR(INDEX('Balance des comptes'!$R:$R,MATCH('2026'!B538,'Balance des comptes'!$A:$A,0)),0)</f>
        <v>0</v>
      </c>
      <c r="E538" s="3">
        <f>+C538-D538</f>
        <v>41830601.480000019</v>
      </c>
      <c r="J538" s="1"/>
    </row>
    <row r="539" spans="1:10" s="6" customFormat="1" ht="15" customHeight="1" x14ac:dyDescent="0.25">
      <c r="B539" s="6" t="s">
        <v>18</v>
      </c>
      <c r="C539" s="1">
        <f>SUM(C538:C538)</f>
        <v>41830601.480000019</v>
      </c>
      <c r="D539" s="1">
        <f>SUM(D538:D538)</f>
        <v>0</v>
      </c>
      <c r="E539" s="3">
        <f>SUM(E538:E538)</f>
        <v>41830601.480000019</v>
      </c>
      <c r="J539" s="1"/>
    </row>
    <row r="540" spans="1:10" s="6" customFormat="1" x14ac:dyDescent="0.25">
      <c r="E540" s="3"/>
      <c r="G540" s="1"/>
      <c r="H540" s="3"/>
    </row>
    <row r="541" spans="1:10" x14ac:dyDescent="0.25">
      <c r="A541" s="6"/>
      <c r="B541" s="6" t="s">
        <v>19</v>
      </c>
      <c r="C541" s="6"/>
      <c r="D541" s="6"/>
      <c r="E541" s="12">
        <f>+E537+E539</f>
        <v>-104550029.16000003</v>
      </c>
      <c r="F541" s="27"/>
      <c r="G541" s="1"/>
      <c r="H541" s="3"/>
      <c r="I541" s="6"/>
      <c r="J541" s="6"/>
    </row>
    <row r="543" spans="1:10" s="6" customFormat="1" x14ac:dyDescent="0.25">
      <c r="A543" s="5" t="s">
        <v>142</v>
      </c>
      <c r="C543" s="6" t="s">
        <v>0</v>
      </c>
      <c r="D543" s="6" t="s">
        <v>1</v>
      </c>
      <c r="E543" s="6" t="s">
        <v>16</v>
      </c>
    </row>
    <row r="544" spans="1:10" s="6" customFormat="1" x14ac:dyDescent="0.25">
      <c r="B544" s="6">
        <v>467100</v>
      </c>
      <c r="C544" s="1">
        <f>IFERROR(INDEX('Balance des comptes'!$O:$O,MATCH('2026'!B544,'Balance des comptes'!$A:$A,0)),0)</f>
        <v>55900528.279999971</v>
      </c>
      <c r="D544" s="1">
        <f>IFERROR(INDEX('Balance des comptes'!$R:$R,MATCH('2026'!B544,'Balance des comptes'!$A:$A,0)),0)</f>
        <v>0</v>
      </c>
      <c r="E544" s="3">
        <f>+C544-D544</f>
        <v>55900528.279999971</v>
      </c>
    </row>
    <row r="545" spans="1:10" s="6" customFormat="1" x14ac:dyDescent="0.25">
      <c r="B545" s="6">
        <v>460100</v>
      </c>
      <c r="C545" s="1">
        <f>IFERROR(INDEX('Balance des comptes'!$O:$O,MATCH('2026'!B545,'Balance des comptes'!$A:$A,0)),0)</f>
        <v>0</v>
      </c>
      <c r="D545" s="1">
        <f>IFERROR(INDEX('Balance des comptes'!$R:$R,MATCH('2026'!B545,'Balance des comptes'!$A:$A,0)),0)</f>
        <v>0</v>
      </c>
      <c r="E545" s="3">
        <f>+C545-D545</f>
        <v>0</v>
      </c>
    </row>
    <row r="546" spans="1:10" s="6" customFormat="1" x14ac:dyDescent="0.25">
      <c r="B546" s="6">
        <v>461100</v>
      </c>
      <c r="C546" s="1">
        <f>IFERROR(INDEX('Balance des comptes'!$O:$O,MATCH('2026'!B546,'Balance des comptes'!$A:$A,0)),0)</f>
        <v>0</v>
      </c>
      <c r="D546" s="1">
        <f>IFERROR(INDEX('Balance des comptes'!$R:$R,MATCH('2026'!B546,'Balance des comptes'!$A:$A,0)),0)</f>
        <v>0</v>
      </c>
      <c r="E546" s="3">
        <f>+C546-D546</f>
        <v>0</v>
      </c>
    </row>
    <row r="547" spans="1:10" s="6" customFormat="1" x14ac:dyDescent="0.25">
      <c r="B547" s="6">
        <v>462100</v>
      </c>
      <c r="C547" s="1">
        <f>IFERROR(INDEX('Balance des comptes'!$O:$O,MATCH('2026'!B547,'Balance des comptes'!$A:$A,0)),0)</f>
        <v>0</v>
      </c>
      <c r="D547" s="1">
        <f>IFERROR(INDEX('Balance des comptes'!$R:$R,MATCH('2026'!B547,'Balance des comptes'!$A:$A,0)),0)</f>
        <v>0</v>
      </c>
      <c r="E547" s="3">
        <f>+C547-D547</f>
        <v>0</v>
      </c>
    </row>
    <row r="548" spans="1:10" s="6" customFormat="1" x14ac:dyDescent="0.25">
      <c r="B548" s="6" t="s">
        <v>17</v>
      </c>
      <c r="C548" s="1">
        <f>SUM(C544:C547)</f>
        <v>55900528.279999971</v>
      </c>
      <c r="D548" s="1">
        <f>SUM(D544:D547)</f>
        <v>0</v>
      </c>
      <c r="E548" s="3">
        <f>SUM(E544:E547)</f>
        <v>55900528.279999971</v>
      </c>
    </row>
    <row r="549" spans="1:10" s="6" customFormat="1" x14ac:dyDescent="0.25">
      <c r="B549" s="6">
        <v>512100</v>
      </c>
      <c r="C549" s="1">
        <f>IFERROR(INDEX('Balance des comptes'!$O:$O,MATCH('2026'!B549,'Balance des comptes'!$A:$A,0)),0)</f>
        <v>253863010.10000038</v>
      </c>
      <c r="D549" s="1">
        <f>IFERROR(INDEX('Balance des comptes'!$R:$R,MATCH('2026'!B549,'Balance des comptes'!$A:$A,0)),0)</f>
        <v>0</v>
      </c>
      <c r="E549" s="3">
        <f>+C549-D549</f>
        <v>253863010.10000038</v>
      </c>
      <c r="J549" s="1"/>
    </row>
    <row r="550" spans="1:10" s="6" customFormat="1" x14ac:dyDescent="0.25">
      <c r="B550" s="6">
        <v>513110</v>
      </c>
      <c r="C550" s="1">
        <f>IFERROR(INDEX('Balance des comptes'!$O:$O,MATCH('2026'!B550,'Balance des comptes'!$A:$A,0)),0)</f>
        <v>11789739</v>
      </c>
      <c r="D550" s="1">
        <f>IFERROR(INDEX('Balance des comptes'!$R:$R,MATCH('2026'!B550,'Balance des comptes'!$A:$A,0)),0)</f>
        <v>0</v>
      </c>
      <c r="E550" s="3">
        <f>+C550-D550</f>
        <v>11789739</v>
      </c>
      <c r="J550" s="1"/>
    </row>
    <row r="551" spans="1:10" s="6" customFormat="1" ht="15" customHeight="1" x14ac:dyDescent="0.25">
      <c r="B551" s="6" t="s">
        <v>18</v>
      </c>
      <c r="C551" s="1">
        <f>SUM(C549:C550)</f>
        <v>265652749.10000038</v>
      </c>
      <c r="D551" s="1">
        <f>SUM(D549:D550)</f>
        <v>0</v>
      </c>
      <c r="E551" s="3">
        <f>SUM(E549:E550)</f>
        <v>265652749.10000038</v>
      </c>
      <c r="J551" s="1"/>
    </row>
    <row r="552" spans="1:10" s="6" customFormat="1" x14ac:dyDescent="0.25">
      <c r="E552" s="3"/>
      <c r="F552" s="1"/>
      <c r="G552" s="1"/>
      <c r="H552" s="3"/>
    </row>
    <row r="553" spans="1:10" x14ac:dyDescent="0.25">
      <c r="A553" s="6"/>
      <c r="B553" s="6" t="s">
        <v>19</v>
      </c>
      <c r="C553" s="6"/>
      <c r="D553" s="6"/>
      <c r="E553" s="12">
        <f>+E548+E551</f>
        <v>321553277.38000035</v>
      </c>
      <c r="F553" s="27"/>
      <c r="G553" s="1"/>
      <c r="H553" s="3"/>
      <c r="I553" s="6"/>
      <c r="J553" s="6"/>
    </row>
    <row r="555" spans="1:10" s="6" customFormat="1" x14ac:dyDescent="0.25">
      <c r="A555" s="5" t="s">
        <v>194</v>
      </c>
      <c r="C555" s="6" t="s">
        <v>0</v>
      </c>
      <c r="D555" s="6" t="s">
        <v>1</v>
      </c>
      <c r="E555" s="6" t="s">
        <v>16</v>
      </c>
      <c r="F555" s="3"/>
    </row>
    <row r="556" spans="1:10" s="6" customFormat="1" x14ac:dyDescent="0.25">
      <c r="B556" s="6">
        <v>467601</v>
      </c>
      <c r="C556" s="1">
        <f>IFERROR(INDEX('Balance des comptes'!$O:$O,MATCH('2026'!B556,'Balance des comptes'!$A:$A,0)),0)</f>
        <v>0</v>
      </c>
      <c r="D556" s="1">
        <f>IFERROR(INDEX('Balance des comptes'!$R:$R,MATCH('2026'!B556,'Balance des comptes'!$A:$A,0)),0)</f>
        <v>13612591.589999974</v>
      </c>
      <c r="E556" s="1">
        <f>+C556-D556</f>
        <v>-13612591.589999974</v>
      </c>
      <c r="F556" s="1"/>
      <c r="H556" s="3"/>
    </row>
    <row r="557" spans="1:10" s="6" customFormat="1" x14ac:dyDescent="0.25">
      <c r="B557" s="6">
        <v>460601</v>
      </c>
      <c r="C557" s="1">
        <f>IFERROR(INDEX('Balance des comptes'!$O:$O,MATCH('2026'!B557,'Balance des comptes'!$A:$A,0)),0)</f>
        <v>13910000</v>
      </c>
      <c r="D557" s="1">
        <f>IFERROR(INDEX('Balance des comptes'!$R:$R,MATCH('2026'!B557,'Balance des comptes'!$A:$A,0)),0)</f>
        <v>0</v>
      </c>
      <c r="E557" s="1">
        <f>+C557-D557</f>
        <v>13910000</v>
      </c>
      <c r="F557" s="1"/>
    </row>
    <row r="558" spans="1:10" s="6" customFormat="1" x14ac:dyDescent="0.25">
      <c r="B558" s="6">
        <v>461601</v>
      </c>
      <c r="C558" s="1">
        <f>IFERROR(INDEX('Balance des comptes'!$O:$O,MATCH('2026'!B558,'Balance des comptes'!$A:$A,0)),0)</f>
        <v>0</v>
      </c>
      <c r="D558" s="1">
        <f>IFERROR(INDEX('Balance des comptes'!$R:$R,MATCH('2026'!B558,'Balance des comptes'!$A:$A,0)),0)</f>
        <v>0</v>
      </c>
      <c r="E558" s="1">
        <f>+C558-D558</f>
        <v>0</v>
      </c>
      <c r="F558" s="9" t="s">
        <v>17</v>
      </c>
      <c r="G558" s="3">
        <f>E560+E569+E576</f>
        <v>-77555135.589999974</v>
      </c>
    </row>
    <row r="559" spans="1:10" s="6" customFormat="1" x14ac:dyDescent="0.25">
      <c r="B559" s="6">
        <v>462601</v>
      </c>
      <c r="C559" s="1">
        <f>IFERROR(INDEX('Balance des comptes'!$O:$O,MATCH('2026'!B559,'Balance des comptes'!$A:$A,0)),0)</f>
        <v>0</v>
      </c>
      <c r="D559" s="1">
        <f>IFERROR(INDEX('Balance des comptes'!$R:$R,MATCH('2026'!B559,'Balance des comptes'!$A:$A,0)),0)</f>
        <v>200000</v>
      </c>
      <c r="E559" s="1">
        <f>+C559-D559</f>
        <v>-200000</v>
      </c>
      <c r="F559" s="9" t="s">
        <v>18</v>
      </c>
      <c r="G559" s="3">
        <f>E562</f>
        <v>68893135.589999974</v>
      </c>
    </row>
    <row r="560" spans="1:10" s="6" customFormat="1" x14ac:dyDescent="0.25">
      <c r="B560" s="6" t="s">
        <v>17</v>
      </c>
      <c r="C560" s="1">
        <f>SUM(C556:C559)</f>
        <v>13910000</v>
      </c>
      <c r="D560" s="1">
        <f>SUM(D556:D559)</f>
        <v>13812591.589999974</v>
      </c>
      <c r="E560" s="1">
        <f>SUM(E556:E559)</f>
        <v>97408.410000026226</v>
      </c>
      <c r="F560" s="9" t="s">
        <v>19</v>
      </c>
      <c r="G560" s="12">
        <f>SUM(G558:G559)</f>
        <v>-8662000</v>
      </c>
      <c r="H560" s="3"/>
      <c r="I560" s="3"/>
    </row>
    <row r="561" spans="1:7" s="6" customFormat="1" x14ac:dyDescent="0.25">
      <c r="B561" s="6">
        <v>512600</v>
      </c>
      <c r="C561" s="1">
        <f>IFERROR(INDEX('Balance des comptes'!$O:$O,MATCH('2026'!B561,'Balance des comptes'!$A:$A,0)),0)</f>
        <v>68893135.589999974</v>
      </c>
      <c r="D561" s="1">
        <f>IFERROR(INDEX('Balance des comptes'!$R:$R,MATCH('2026'!B561,'Balance des comptes'!$A:$A,0)),0)</f>
        <v>0</v>
      </c>
      <c r="E561" s="1">
        <f>+C561-D561</f>
        <v>68893135.589999974</v>
      </c>
      <c r="G561" s="3"/>
    </row>
    <row r="562" spans="1:7" s="6" customFormat="1" x14ac:dyDescent="0.25">
      <c r="B562" s="6" t="s">
        <v>18</v>
      </c>
      <c r="C562" s="1">
        <f>SUM(C561:C561)</f>
        <v>68893135.589999974</v>
      </c>
      <c r="D562" s="1">
        <f>SUM(D561:D561)</f>
        <v>0</v>
      </c>
      <c r="E562" s="1">
        <f>SUM(E561:E561)</f>
        <v>68893135.589999974</v>
      </c>
      <c r="F562" s="3"/>
      <c r="G562" s="3"/>
    </row>
    <row r="563" spans="1:7" s="6" customFormat="1" x14ac:dyDescent="0.25">
      <c r="C563" s="1"/>
      <c r="D563" s="1"/>
      <c r="E563" s="1"/>
      <c r="F563" s="3"/>
      <c r="G563" s="3"/>
    </row>
    <row r="564" spans="1:7" s="6" customFormat="1" x14ac:dyDescent="0.25">
      <c r="A564" s="5" t="s">
        <v>206</v>
      </c>
      <c r="C564" s="6" t="s">
        <v>0</v>
      </c>
      <c r="D564" s="6" t="s">
        <v>1</v>
      </c>
      <c r="E564" s="6" t="s">
        <v>16</v>
      </c>
      <c r="F564" s="3"/>
      <c r="G564" s="3"/>
    </row>
    <row r="565" spans="1:7" s="6" customFormat="1" x14ac:dyDescent="0.25">
      <c r="B565" s="6">
        <v>467602</v>
      </c>
      <c r="C565" s="1">
        <f>IFERROR(INDEX('Balance des comptes'!$O:$O,MATCH('2026'!B565,'Balance des comptes'!$A:$A,0)),0)</f>
        <v>0</v>
      </c>
      <c r="D565" s="1">
        <f>IFERROR(INDEX('Balance des comptes'!$R:$R,MATCH('2026'!B565,'Balance des comptes'!$A:$A,0)),0)</f>
        <v>13194865</v>
      </c>
      <c r="E565" s="1">
        <f>+C565-D565</f>
        <v>-13194865</v>
      </c>
      <c r="F565" s="3"/>
      <c r="G565" s="3"/>
    </row>
    <row r="566" spans="1:7" s="6" customFormat="1" x14ac:dyDescent="0.25">
      <c r="B566" s="6">
        <v>460602</v>
      </c>
      <c r="C566" s="1">
        <f>IFERROR(INDEX('Balance des comptes'!$O:$O,MATCH('2026'!B566,'Balance des comptes'!$A:$A,0)),0)</f>
        <v>0</v>
      </c>
      <c r="D566" s="1">
        <f>IFERROR(INDEX('Balance des comptes'!$R:$R,MATCH('2026'!B566,'Balance des comptes'!$A:$A,0)),0)</f>
        <v>0</v>
      </c>
      <c r="E566" s="1">
        <f>+C566-D566</f>
        <v>0</v>
      </c>
      <c r="F566" s="3"/>
      <c r="G566" s="3"/>
    </row>
    <row r="567" spans="1:7" s="6" customFormat="1" x14ac:dyDescent="0.25">
      <c r="B567" s="6">
        <v>461602</v>
      </c>
      <c r="C567" s="1">
        <f>IFERROR(INDEX('Balance des comptes'!$O:$O,MATCH('2026'!B567,'Balance des comptes'!$A:$A,0)),0)</f>
        <v>0</v>
      </c>
      <c r="D567" s="1">
        <f>IFERROR(INDEX('Balance des comptes'!$R:$R,MATCH('2026'!B567,'Balance des comptes'!$A:$A,0)),0)</f>
        <v>0</v>
      </c>
      <c r="E567" s="1">
        <f>+C567-D567</f>
        <v>0</v>
      </c>
      <c r="F567" s="3"/>
      <c r="G567" s="3"/>
    </row>
    <row r="568" spans="1:7" s="6" customFormat="1" x14ac:dyDescent="0.25">
      <c r="B568" s="6">
        <v>462602</v>
      </c>
      <c r="C568" s="1">
        <f>IFERROR(INDEX('Balance des comptes'!$O:$O,MATCH('2026'!B568,'Balance des comptes'!$A:$A,0)),0)</f>
        <v>0</v>
      </c>
      <c r="D568" s="1">
        <f>IFERROR(INDEX('Balance des comptes'!$R:$R,MATCH('2026'!B568,'Balance des comptes'!$A:$A,0)),0)</f>
        <v>0</v>
      </c>
      <c r="E568" s="1">
        <f>+C568-D568</f>
        <v>0</v>
      </c>
      <c r="F568" s="3"/>
      <c r="G568" s="3"/>
    </row>
    <row r="569" spans="1:7" s="6" customFormat="1" x14ac:dyDescent="0.25">
      <c r="B569" s="6" t="s">
        <v>17</v>
      </c>
      <c r="C569" s="1">
        <f>SUM(C565:C568)</f>
        <v>0</v>
      </c>
      <c r="D569" s="1">
        <f>SUM(D565:D568)</f>
        <v>13194865</v>
      </c>
      <c r="E569" s="1">
        <f>SUM(E565:E568)</f>
        <v>-13194865</v>
      </c>
      <c r="F569" s="3"/>
      <c r="G569" s="3"/>
    </row>
    <row r="570" spans="1:7" s="6" customFormat="1" x14ac:dyDescent="0.25">
      <c r="C570" s="1"/>
      <c r="D570" s="1"/>
      <c r="E570" s="1"/>
      <c r="F570" s="3"/>
      <c r="G570" s="3"/>
    </row>
    <row r="571" spans="1:7" s="6" customFormat="1" x14ac:dyDescent="0.25">
      <c r="A571" s="5" t="s">
        <v>211</v>
      </c>
      <c r="C571" s="6" t="s">
        <v>0</v>
      </c>
      <c r="D571" s="6" t="s">
        <v>1</v>
      </c>
      <c r="E571" s="6" t="s">
        <v>16</v>
      </c>
      <c r="F571" s="3"/>
      <c r="G571" s="3"/>
    </row>
    <row r="572" spans="1:7" s="6" customFormat="1" x14ac:dyDescent="0.25">
      <c r="B572" s="6">
        <v>467603</v>
      </c>
      <c r="C572" s="1">
        <f>IFERROR(INDEX('Balance des comptes'!$O:$O,MATCH('2026'!B572,'Balance des comptes'!$A:$A,0)),0)</f>
        <v>0</v>
      </c>
      <c r="D572" s="1">
        <f>IFERROR(INDEX('Balance des comptes'!$R:$R,MATCH('2026'!B572,'Balance des comptes'!$A:$A,0)),0)</f>
        <v>64457679</v>
      </c>
      <c r="E572" s="1">
        <f>+C572-D572</f>
        <v>-64457679</v>
      </c>
      <c r="F572" s="3"/>
      <c r="G572" s="3"/>
    </row>
    <row r="573" spans="1:7" s="6" customFormat="1" x14ac:dyDescent="0.25">
      <c r="B573" s="6">
        <v>460603</v>
      </c>
      <c r="C573" s="1">
        <f>IFERROR(INDEX('Balance des comptes'!$O:$O,MATCH('2026'!B573,'Balance des comptes'!$A:$A,0)),0)</f>
        <v>0</v>
      </c>
      <c r="D573" s="1">
        <f>IFERROR(INDEX('Balance des comptes'!$R:$R,MATCH('2026'!B573,'Balance des comptes'!$A:$A,0)),0)</f>
        <v>0</v>
      </c>
      <c r="E573" s="1">
        <f>+C573-D573</f>
        <v>0</v>
      </c>
      <c r="F573" s="3"/>
      <c r="G573" s="3"/>
    </row>
    <row r="574" spans="1:7" s="6" customFormat="1" x14ac:dyDescent="0.25">
      <c r="B574" s="6">
        <v>461603</v>
      </c>
      <c r="C574" s="1">
        <f>IFERROR(INDEX('Balance des comptes'!$O:$O,MATCH('2026'!B574,'Balance des comptes'!$A:$A,0)),0)</f>
        <v>0</v>
      </c>
      <c r="D574" s="1">
        <f>IFERROR(INDEX('Balance des comptes'!$R:$R,MATCH('2026'!B574,'Balance des comptes'!$A:$A,0)),0)</f>
        <v>0</v>
      </c>
      <c r="E574" s="1">
        <f>+C574-D574</f>
        <v>0</v>
      </c>
      <c r="F574" s="3"/>
      <c r="G574" s="3"/>
    </row>
    <row r="575" spans="1:7" s="6" customFormat="1" x14ac:dyDescent="0.25">
      <c r="B575" s="6">
        <v>462603</v>
      </c>
      <c r="C575" s="1">
        <f>IFERROR(INDEX('Balance des comptes'!$O:$O,MATCH('2026'!B575,'Balance des comptes'!$A:$A,0)),0)</f>
        <v>0</v>
      </c>
      <c r="D575" s="1">
        <f>IFERROR(INDEX('Balance des comptes'!$R:$R,MATCH('2026'!B575,'Balance des comptes'!$A:$A,0)),0)</f>
        <v>0</v>
      </c>
      <c r="E575" s="1">
        <f>+C575-D575</f>
        <v>0</v>
      </c>
      <c r="F575" s="3"/>
      <c r="G575" s="3"/>
    </row>
    <row r="576" spans="1:7" s="6" customFormat="1" x14ac:dyDescent="0.25">
      <c r="B576" s="6" t="s">
        <v>17</v>
      </c>
      <c r="C576" s="1">
        <f>SUM(C572:C575)</f>
        <v>0</v>
      </c>
      <c r="D576" s="1">
        <f>SUM(D572:D575)</f>
        <v>64457679</v>
      </c>
      <c r="E576" s="1">
        <f>SUM(E572:E575)</f>
        <v>-64457679</v>
      </c>
      <c r="F576" s="3"/>
      <c r="G576" s="3"/>
    </row>
    <row r="578" spans="1:10" s="6" customFormat="1" x14ac:dyDescent="0.25">
      <c r="A578" s="5" t="s">
        <v>221</v>
      </c>
      <c r="C578" s="6" t="s">
        <v>0</v>
      </c>
      <c r="D578" s="6" t="s">
        <v>1</v>
      </c>
      <c r="E578" s="6" t="s">
        <v>16</v>
      </c>
    </row>
    <row r="579" spans="1:10" s="6" customFormat="1" x14ac:dyDescent="0.25">
      <c r="B579" s="6">
        <v>467102</v>
      </c>
      <c r="C579" s="1">
        <f>IFERROR(INDEX('Balance des comptes'!$O:$O,MATCH('2026'!B579,'Balance des comptes'!$A:$A,0)),0)</f>
        <v>0</v>
      </c>
      <c r="D579" s="1">
        <f>IFERROR(INDEX('Balance des comptes'!$R:$R,MATCH('2026'!B579,'Balance des comptes'!$A:$A,0)),0)</f>
        <v>70015742.920000076</v>
      </c>
      <c r="E579" s="3">
        <f>+C579-D579</f>
        <v>-70015742.920000076</v>
      </c>
      <c r="F579" s="9"/>
      <c r="G579" s="3"/>
    </row>
    <row r="580" spans="1:10" s="6" customFormat="1" x14ac:dyDescent="0.25">
      <c r="B580" s="6">
        <v>460102</v>
      </c>
      <c r="C580" s="1">
        <f>IFERROR(INDEX('Balance des comptes'!$O:$O,MATCH('2026'!B580,'Balance des comptes'!$A:$A,0)),0)</f>
        <v>0</v>
      </c>
      <c r="D580" s="1">
        <f>IFERROR(INDEX('Balance des comptes'!$R:$R,MATCH('2026'!B580,'Balance des comptes'!$A:$A,0)),0)</f>
        <v>0</v>
      </c>
      <c r="E580" s="3">
        <f>+C580-D580</f>
        <v>0</v>
      </c>
      <c r="F580" s="9"/>
      <c r="G580" s="3"/>
    </row>
    <row r="581" spans="1:10" s="6" customFormat="1" x14ac:dyDescent="0.25">
      <c r="B581" s="6">
        <v>461102</v>
      </c>
      <c r="C581" s="1">
        <f>IFERROR(INDEX('Balance des comptes'!$O:$O,MATCH('2026'!B581,'Balance des comptes'!$A:$A,0)),0)</f>
        <v>0</v>
      </c>
      <c r="D581" s="1">
        <f>IFERROR(INDEX('Balance des comptes'!$R:$R,MATCH('2026'!B581,'Balance des comptes'!$A:$A,0)),0)</f>
        <v>0</v>
      </c>
      <c r="E581" s="3">
        <f>+C581-D581</f>
        <v>0</v>
      </c>
      <c r="F581" s="9"/>
      <c r="G581" s="3"/>
    </row>
    <row r="582" spans="1:10" s="6" customFormat="1" x14ac:dyDescent="0.25">
      <c r="B582" s="6">
        <v>462102</v>
      </c>
      <c r="C582" s="1">
        <f>IFERROR(INDEX('Balance des comptes'!$O:$O,MATCH('2026'!B582,'Balance des comptes'!$A:$A,0)),0)</f>
        <v>0</v>
      </c>
      <c r="D582" s="1">
        <f>IFERROR(INDEX('Balance des comptes'!$R:$R,MATCH('2026'!B582,'Balance des comptes'!$A:$A,0)),0)</f>
        <v>0</v>
      </c>
      <c r="E582" s="3">
        <f>+C582-D582</f>
        <v>0</v>
      </c>
    </row>
    <row r="583" spans="1:10" s="6" customFormat="1" x14ac:dyDescent="0.25">
      <c r="B583" s="6" t="s">
        <v>17</v>
      </c>
      <c r="C583" s="1">
        <f>SUM(C579:C582)</f>
        <v>0</v>
      </c>
      <c r="D583" s="1">
        <f>SUM(D579:D582)</f>
        <v>70015742.920000076</v>
      </c>
      <c r="E583" s="3">
        <f>SUM(E579:E582)</f>
        <v>-70015742.920000076</v>
      </c>
      <c r="F583" s="36">
        <f>93329262.92-F585</f>
        <v>23313519.999999985</v>
      </c>
      <c r="G583" s="3"/>
    </row>
    <row r="584" spans="1:10" s="6" customFormat="1" x14ac:dyDescent="0.25">
      <c r="B584" s="6">
        <v>512501</v>
      </c>
      <c r="C584" s="1">
        <f>IFERROR(INDEX('Balance des comptes'!$O:$O,MATCH('2026'!B584,'Balance des comptes'!$A:$A,0)),0)</f>
        <v>41830601.480000019</v>
      </c>
      <c r="D584" s="1">
        <f>IFERROR(INDEX('Balance des comptes'!$R:$R,MATCH('2026'!B584,'Balance des comptes'!$A:$A,0)),0)</f>
        <v>0</v>
      </c>
      <c r="E584" s="3">
        <f>+C584-D584</f>
        <v>41830601.480000019</v>
      </c>
      <c r="J584" s="1"/>
    </row>
    <row r="585" spans="1:10" s="6" customFormat="1" ht="15" customHeight="1" x14ac:dyDescent="0.25">
      <c r="B585" s="6" t="s">
        <v>18</v>
      </c>
      <c r="C585" s="1">
        <f>SUM(C584:C584)</f>
        <v>41830601.480000019</v>
      </c>
      <c r="D585" s="1">
        <f>SUM(D584:D584)</f>
        <v>0</v>
      </c>
      <c r="E585" s="3">
        <f>SUM(E584:E584)</f>
        <v>41830601.480000019</v>
      </c>
      <c r="F585" s="36">
        <f>E585+28185141.44</f>
        <v>70015742.920000017</v>
      </c>
      <c r="J585" s="1"/>
    </row>
    <row r="586" spans="1:10" s="6" customFormat="1" x14ac:dyDescent="0.25">
      <c r="E586" s="3"/>
      <c r="F586" s="1"/>
      <c r="G586" s="1"/>
      <c r="H586" s="3"/>
    </row>
    <row r="587" spans="1:10" x14ac:dyDescent="0.25">
      <c r="A587" s="6"/>
      <c r="B587" s="6" t="s">
        <v>19</v>
      </c>
      <c r="C587" s="6"/>
      <c r="D587" s="6"/>
      <c r="E587" s="12">
        <f>+E583+E585</f>
        <v>-28185141.440000057</v>
      </c>
      <c r="F587" s="27"/>
      <c r="G587" s="1"/>
      <c r="H587" s="3"/>
      <c r="I587" s="6"/>
      <c r="J587" s="6"/>
    </row>
    <row r="589" spans="1:10" s="6" customFormat="1" x14ac:dyDescent="0.25">
      <c r="A589" s="5" t="s">
        <v>222</v>
      </c>
      <c r="C589" s="6" t="s">
        <v>0</v>
      </c>
      <c r="D589" s="6" t="s">
        <v>1</v>
      </c>
      <c r="E589" s="6" t="s">
        <v>16</v>
      </c>
    </row>
    <row r="590" spans="1:10" s="6" customFormat="1" x14ac:dyDescent="0.25">
      <c r="B590" s="6">
        <v>467103</v>
      </c>
      <c r="C590" s="1">
        <f>IFERROR(INDEX('Balance des comptes'!$O:$O,MATCH('2026'!B590,'Balance des comptes'!$A:$A,0)),0)</f>
        <v>0</v>
      </c>
      <c r="D590" s="1">
        <f>IFERROR(INDEX('Balance des comptes'!$R:$R,MATCH('2026'!B590,'Balance des comptes'!$A:$A,0)),0)</f>
        <v>647020874.44000053</v>
      </c>
      <c r="E590" s="3">
        <f>+C590-D590</f>
        <v>-647020874.44000053</v>
      </c>
    </row>
    <row r="591" spans="1:10" s="6" customFormat="1" x14ac:dyDescent="0.25">
      <c r="B591" s="6">
        <v>460103</v>
      </c>
      <c r="C591" s="1">
        <f>IFERROR(INDEX('Balance des comptes'!$O:$O,MATCH('2026'!B591,'Balance des comptes'!$A:$A,0)),0)</f>
        <v>490770815</v>
      </c>
      <c r="D591" s="1">
        <f>IFERROR(INDEX('Balance des comptes'!$R:$R,MATCH('2026'!B591,'Balance des comptes'!$A:$A,0)),0)</f>
        <v>0</v>
      </c>
      <c r="E591" s="3">
        <f>+C591-D591</f>
        <v>490770815</v>
      </c>
      <c r="F591" s="9"/>
      <c r="G591" s="3"/>
    </row>
    <row r="592" spans="1:10" s="6" customFormat="1" x14ac:dyDescent="0.25">
      <c r="B592" s="6">
        <v>461103</v>
      </c>
      <c r="C592" s="1">
        <f>IFERROR(INDEX('Balance des comptes'!$O:$O,MATCH('2026'!B592,'Balance des comptes'!$A:$A,0)),0)</f>
        <v>0</v>
      </c>
      <c r="D592" s="1">
        <f>IFERROR(INDEX('Balance des comptes'!$R:$R,MATCH('2026'!B592,'Balance des comptes'!$A:$A,0)),0)</f>
        <v>0</v>
      </c>
      <c r="E592" s="3">
        <f>+C592-D592</f>
        <v>0</v>
      </c>
      <c r="F592" s="9"/>
      <c r="G592" s="3"/>
    </row>
    <row r="593" spans="1:10" s="6" customFormat="1" x14ac:dyDescent="0.25">
      <c r="B593" s="6">
        <v>462103</v>
      </c>
      <c r="C593" s="1">
        <f>IFERROR(INDEX('Balance des comptes'!$O:$O,MATCH('2026'!B593,'Balance des comptes'!$A:$A,0)),0)</f>
        <v>0</v>
      </c>
      <c r="D593" s="1">
        <f>IFERROR(INDEX('Balance des comptes'!$R:$R,MATCH('2026'!B593,'Balance des comptes'!$A:$A,0)),0)</f>
        <v>1837937</v>
      </c>
      <c r="E593" s="3">
        <f>+C593-D593</f>
        <v>-1837937</v>
      </c>
      <c r="F593" s="9"/>
      <c r="G593" s="3"/>
    </row>
    <row r="594" spans="1:10" s="6" customFormat="1" x14ac:dyDescent="0.25">
      <c r="B594" s="6" t="s">
        <v>17</v>
      </c>
      <c r="C594" s="1">
        <f>SUM(C590:C593)</f>
        <v>490770815</v>
      </c>
      <c r="D594" s="1">
        <f>SUM(D590:D593)</f>
        <v>648858811.44000053</v>
      </c>
      <c r="E594" s="3">
        <f>SUM(E590:E593)</f>
        <v>-158087996.44000053</v>
      </c>
    </row>
    <row r="595" spans="1:10" s="6" customFormat="1" x14ac:dyDescent="0.25">
      <c r="B595" s="6">
        <v>512100</v>
      </c>
      <c r="C595" s="1">
        <f>IFERROR(INDEX('Balance des comptes'!$O:$O,MATCH('2026'!B595,'Balance des comptes'!$A:$A,0)),0)</f>
        <v>253863010.10000038</v>
      </c>
      <c r="D595" s="1">
        <f>IFERROR(INDEX('Balance des comptes'!$R:$R,MATCH('2026'!B595,'Balance des comptes'!$A:$A,0)),0)</f>
        <v>0</v>
      </c>
      <c r="E595" s="3">
        <f>+C595-D595</f>
        <v>253863010.10000038</v>
      </c>
      <c r="J595" s="1"/>
    </row>
    <row r="596" spans="1:10" s="6" customFormat="1" x14ac:dyDescent="0.25">
      <c r="B596" s="6">
        <v>513110</v>
      </c>
      <c r="C596" s="1">
        <f>IFERROR(INDEX('Balance des comptes'!$O:$O,MATCH('2026'!B596,'Balance des comptes'!$A:$A,0)),0)</f>
        <v>11789739</v>
      </c>
      <c r="D596" s="1">
        <f>IFERROR(INDEX('Balance des comptes'!$R:$R,MATCH('2026'!B596,'Balance des comptes'!$A:$A,0)),0)</f>
        <v>0</v>
      </c>
      <c r="E596" s="3">
        <f>+C596-D596</f>
        <v>11789739</v>
      </c>
      <c r="F596" s="36">
        <f>E599+E587</f>
        <v>79379611.21999979</v>
      </c>
      <c r="J596" s="1"/>
    </row>
    <row r="597" spans="1:10" s="6" customFormat="1" ht="15" customHeight="1" x14ac:dyDescent="0.25">
      <c r="B597" s="6" t="s">
        <v>18</v>
      </c>
      <c r="C597" s="1">
        <f>SUM(C595:C596)</f>
        <v>265652749.10000038</v>
      </c>
      <c r="D597" s="1">
        <f>SUM(D595:D596)</f>
        <v>0</v>
      </c>
      <c r="E597" s="3">
        <f>SUM(E595:E596)</f>
        <v>265652749.10000038</v>
      </c>
      <c r="J597" s="1"/>
    </row>
    <row r="598" spans="1:10" s="6" customFormat="1" x14ac:dyDescent="0.25">
      <c r="E598" s="3"/>
      <c r="F598" s="1"/>
      <c r="G598" s="1"/>
      <c r="H598" s="3"/>
    </row>
    <row r="599" spans="1:10" x14ac:dyDescent="0.25">
      <c r="A599" s="6"/>
      <c r="B599" s="6" t="s">
        <v>19</v>
      </c>
      <c r="C599" s="6"/>
      <c r="D599" s="6"/>
      <c r="E599" s="12">
        <f>+E594+E597</f>
        <v>107564752.65999985</v>
      </c>
      <c r="F599" s="27"/>
      <c r="G599" s="1"/>
      <c r="H599" s="3"/>
      <c r="I599" s="6"/>
      <c r="J599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D6EA-073A-4AFF-83FC-FC47E084CED4}">
  <dimension ref="A1:M968"/>
  <sheetViews>
    <sheetView topLeftCell="B1" workbookViewId="0">
      <selection activeCell="L55" sqref="L55:L969"/>
    </sheetView>
  </sheetViews>
  <sheetFormatPr baseColWidth="10" defaultRowHeight="15" x14ac:dyDescent="0.25"/>
  <cols>
    <col min="1" max="1" width="0" hidden="1" customWidth="1"/>
    <col min="3" max="3" width="10.7109375" bestFit="1" customWidth="1"/>
    <col min="4" max="6" width="0" hidden="1" customWidth="1"/>
    <col min="7" max="7" width="20.7109375" bestFit="1" customWidth="1"/>
    <col min="8" max="8" width="79.5703125" bestFit="1" customWidth="1"/>
    <col min="9" max="11" width="0" hidden="1" customWidth="1"/>
    <col min="12" max="12" width="15.28515625" style="35" bestFit="1" customWidth="1"/>
    <col min="13" max="13" width="16.42578125" style="35" bestFit="1" customWidth="1"/>
  </cols>
  <sheetData>
    <row r="1" spans="1:13" x14ac:dyDescent="0.25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s="35" t="s">
        <v>204</v>
      </c>
      <c r="M1" s="35" t="s">
        <v>125</v>
      </c>
    </row>
    <row r="2" spans="1:13" x14ac:dyDescent="0.25">
      <c r="A2">
        <v>0</v>
      </c>
      <c r="B2" t="s">
        <v>244</v>
      </c>
      <c r="C2" s="18">
        <v>45658</v>
      </c>
      <c r="D2" t="str">
        <f>"36"</f>
        <v>36</v>
      </c>
      <c r="G2" t="s">
        <v>245</v>
      </c>
      <c r="H2" t="s">
        <v>246</v>
      </c>
      <c r="M2" s="35">
        <v>80866901</v>
      </c>
    </row>
    <row r="3" spans="1:13" x14ac:dyDescent="0.25">
      <c r="A3">
        <v>0</v>
      </c>
      <c r="B3" t="s">
        <v>244</v>
      </c>
      <c r="C3" s="18">
        <v>45658</v>
      </c>
      <c r="D3" t="str">
        <f>"36"</f>
        <v>36</v>
      </c>
      <c r="G3" t="s">
        <v>247</v>
      </c>
      <c r="H3" t="s">
        <v>246</v>
      </c>
      <c r="M3" s="35">
        <v>185920690.81999999</v>
      </c>
    </row>
    <row r="4" spans="1:13" x14ac:dyDescent="0.25">
      <c r="A4">
        <v>0</v>
      </c>
      <c r="B4" t="s">
        <v>248</v>
      </c>
      <c r="C4" s="18">
        <v>45666</v>
      </c>
      <c r="D4" t="str">
        <f>"80"</f>
        <v>80</v>
      </c>
      <c r="E4" s="18">
        <v>45666</v>
      </c>
      <c r="G4" t="s">
        <v>247</v>
      </c>
      <c r="H4" t="s">
        <v>249</v>
      </c>
      <c r="L4" s="35">
        <v>3103598.92</v>
      </c>
    </row>
    <row r="5" spans="1:13" x14ac:dyDescent="0.25">
      <c r="A5">
        <v>0</v>
      </c>
      <c r="B5" t="s">
        <v>250</v>
      </c>
      <c r="C5" s="18">
        <v>45658</v>
      </c>
      <c r="D5" t="str">
        <f>"83"</f>
        <v>83</v>
      </c>
      <c r="E5" s="18">
        <v>45649</v>
      </c>
      <c r="F5" t="s">
        <v>251</v>
      </c>
      <c r="G5" t="s">
        <v>247</v>
      </c>
      <c r="H5" t="s">
        <v>252</v>
      </c>
      <c r="L5" s="35">
        <v>644160</v>
      </c>
    </row>
    <row r="6" spans="1:13" x14ac:dyDescent="0.25">
      <c r="A6">
        <v>0</v>
      </c>
      <c r="B6" t="s">
        <v>250</v>
      </c>
      <c r="C6" s="18">
        <v>45658</v>
      </c>
      <c r="D6" t="str">
        <f>"83"</f>
        <v>83</v>
      </c>
      <c r="E6" s="18">
        <v>45655</v>
      </c>
      <c r="F6" t="s">
        <v>253</v>
      </c>
      <c r="G6" t="s">
        <v>247</v>
      </c>
      <c r="H6" t="s">
        <v>254</v>
      </c>
      <c r="L6" s="35">
        <v>383600</v>
      </c>
    </row>
    <row r="7" spans="1:13" x14ac:dyDescent="0.25">
      <c r="A7">
        <v>0</v>
      </c>
      <c r="B7" t="s">
        <v>250</v>
      </c>
      <c r="C7" s="18">
        <v>45658</v>
      </c>
      <c r="D7" t="str">
        <f>"83"</f>
        <v>83</v>
      </c>
      <c r="E7" s="18">
        <v>45656</v>
      </c>
      <c r="F7" t="s">
        <v>255</v>
      </c>
      <c r="G7" t="s">
        <v>247</v>
      </c>
      <c r="H7" t="s">
        <v>256</v>
      </c>
      <c r="L7" s="35">
        <v>598720</v>
      </c>
    </row>
    <row r="8" spans="1:13" x14ac:dyDescent="0.25">
      <c r="A8">
        <v>0</v>
      </c>
      <c r="B8" t="s">
        <v>250</v>
      </c>
      <c r="C8" s="18">
        <v>45658</v>
      </c>
      <c r="D8" t="str">
        <f>"330"</f>
        <v>330</v>
      </c>
      <c r="E8" s="18">
        <v>45657</v>
      </c>
      <c r="F8" t="str">
        <f>"21739"</f>
        <v>21739</v>
      </c>
      <c r="G8" t="s">
        <v>247</v>
      </c>
      <c r="H8" t="s">
        <v>257</v>
      </c>
      <c r="L8" s="35">
        <v>110000</v>
      </c>
    </row>
    <row r="9" spans="1:13" x14ac:dyDescent="0.25">
      <c r="A9">
        <v>0</v>
      </c>
      <c r="B9" t="s">
        <v>250</v>
      </c>
      <c r="C9" s="18">
        <v>45658</v>
      </c>
      <c r="D9" t="str">
        <f>"330"</f>
        <v>330</v>
      </c>
      <c r="E9" s="18">
        <v>45657</v>
      </c>
      <c r="F9" t="str">
        <f>"21740"</f>
        <v>21740</v>
      </c>
      <c r="G9" t="s">
        <v>247</v>
      </c>
      <c r="H9" t="s">
        <v>258</v>
      </c>
      <c r="L9" s="35">
        <v>798400</v>
      </c>
    </row>
    <row r="10" spans="1:13" x14ac:dyDescent="0.25">
      <c r="A10">
        <v>0</v>
      </c>
      <c r="B10" t="s">
        <v>250</v>
      </c>
      <c r="C10" s="18">
        <v>45658</v>
      </c>
      <c r="D10" t="str">
        <f t="shared" ref="D10:D53" si="0">"432"</f>
        <v>432</v>
      </c>
      <c r="E10" s="18">
        <v>45629</v>
      </c>
      <c r="F10" t="str">
        <f>"344896"</f>
        <v>344896</v>
      </c>
      <c r="G10" t="s">
        <v>247</v>
      </c>
      <c r="H10" t="s">
        <v>259</v>
      </c>
      <c r="L10" s="35">
        <v>547200</v>
      </c>
    </row>
    <row r="11" spans="1:13" x14ac:dyDescent="0.25">
      <c r="A11">
        <v>0</v>
      </c>
      <c r="B11" t="s">
        <v>250</v>
      </c>
      <c r="C11" s="18">
        <v>45658</v>
      </c>
      <c r="D11" t="str">
        <f t="shared" si="0"/>
        <v>432</v>
      </c>
      <c r="E11" s="18">
        <v>45629</v>
      </c>
      <c r="F11" t="s">
        <v>260</v>
      </c>
      <c r="G11" t="s">
        <v>247</v>
      </c>
      <c r="H11" t="s">
        <v>261</v>
      </c>
      <c r="L11" s="35">
        <v>84000</v>
      </c>
    </row>
    <row r="12" spans="1:13" x14ac:dyDescent="0.25">
      <c r="A12">
        <v>0</v>
      </c>
      <c r="B12" t="s">
        <v>250</v>
      </c>
      <c r="C12" s="18">
        <v>45658</v>
      </c>
      <c r="D12" t="str">
        <f t="shared" si="0"/>
        <v>432</v>
      </c>
      <c r="E12" s="18">
        <v>45629</v>
      </c>
      <c r="F12" t="str">
        <f>"251256"</f>
        <v>251256</v>
      </c>
      <c r="G12" t="s">
        <v>247</v>
      </c>
      <c r="H12" t="s">
        <v>262</v>
      </c>
      <c r="L12" s="35">
        <v>76320</v>
      </c>
    </row>
    <row r="13" spans="1:13" x14ac:dyDescent="0.25">
      <c r="A13">
        <v>0</v>
      </c>
      <c r="B13" t="s">
        <v>250</v>
      </c>
      <c r="C13" s="18">
        <v>45658</v>
      </c>
      <c r="D13" t="str">
        <f t="shared" si="0"/>
        <v>432</v>
      </c>
      <c r="E13" s="18">
        <v>45639</v>
      </c>
      <c r="F13" t="s">
        <v>263</v>
      </c>
      <c r="G13" t="s">
        <v>247</v>
      </c>
      <c r="H13" t="s">
        <v>264</v>
      </c>
      <c r="L13" s="35">
        <v>156960</v>
      </c>
    </row>
    <row r="14" spans="1:13" x14ac:dyDescent="0.25">
      <c r="A14">
        <v>0</v>
      </c>
      <c r="B14" t="s">
        <v>250</v>
      </c>
      <c r="C14" s="18">
        <v>45658</v>
      </c>
      <c r="D14" t="str">
        <f t="shared" si="0"/>
        <v>432</v>
      </c>
      <c r="E14" s="18">
        <v>45639</v>
      </c>
      <c r="F14" t="s">
        <v>265</v>
      </c>
      <c r="G14" t="s">
        <v>247</v>
      </c>
      <c r="H14" t="s">
        <v>266</v>
      </c>
      <c r="L14" s="35">
        <v>30240</v>
      </c>
    </row>
    <row r="15" spans="1:13" x14ac:dyDescent="0.25">
      <c r="A15">
        <v>0</v>
      </c>
      <c r="B15" t="s">
        <v>250</v>
      </c>
      <c r="C15" s="18">
        <v>45658</v>
      </c>
      <c r="D15" t="str">
        <f t="shared" si="0"/>
        <v>432</v>
      </c>
      <c r="E15" s="18">
        <v>45639</v>
      </c>
      <c r="F15" t="s">
        <v>267</v>
      </c>
      <c r="G15" t="s">
        <v>247</v>
      </c>
      <c r="H15" t="s">
        <v>268</v>
      </c>
      <c r="L15" s="35">
        <v>140000</v>
      </c>
    </row>
    <row r="16" spans="1:13" x14ac:dyDescent="0.25">
      <c r="A16">
        <v>0</v>
      </c>
      <c r="B16" t="s">
        <v>250</v>
      </c>
      <c r="C16" s="18">
        <v>45658</v>
      </c>
      <c r="D16" t="str">
        <f t="shared" si="0"/>
        <v>432</v>
      </c>
      <c r="E16" s="18">
        <v>45639</v>
      </c>
      <c r="F16" t="s">
        <v>269</v>
      </c>
      <c r="G16" t="s">
        <v>247</v>
      </c>
      <c r="H16" t="s">
        <v>270</v>
      </c>
      <c r="L16" s="35">
        <v>136640</v>
      </c>
    </row>
    <row r="17" spans="1:12" x14ac:dyDescent="0.25">
      <c r="A17">
        <v>0</v>
      </c>
      <c r="B17" t="s">
        <v>250</v>
      </c>
      <c r="C17" s="18">
        <v>45658</v>
      </c>
      <c r="D17" t="str">
        <f t="shared" si="0"/>
        <v>432</v>
      </c>
      <c r="E17" s="18">
        <v>45642</v>
      </c>
      <c r="F17" t="str">
        <f>"202404005"</f>
        <v>202404005</v>
      </c>
      <c r="G17" t="s">
        <v>247</v>
      </c>
      <c r="H17" t="s">
        <v>271</v>
      </c>
      <c r="L17" s="35">
        <v>16000</v>
      </c>
    </row>
    <row r="18" spans="1:12" x14ac:dyDescent="0.25">
      <c r="A18">
        <v>0</v>
      </c>
      <c r="B18" t="s">
        <v>250</v>
      </c>
      <c r="C18" s="18">
        <v>45658</v>
      </c>
      <c r="D18" t="str">
        <f t="shared" si="0"/>
        <v>432</v>
      </c>
      <c r="E18" s="18">
        <v>45642</v>
      </c>
      <c r="F18" t="s">
        <v>272</v>
      </c>
      <c r="G18" t="s">
        <v>247</v>
      </c>
      <c r="H18" t="s">
        <v>273</v>
      </c>
      <c r="L18" s="35">
        <v>672000</v>
      </c>
    </row>
    <row r="19" spans="1:12" x14ac:dyDescent="0.25">
      <c r="A19">
        <v>0</v>
      </c>
      <c r="B19" t="s">
        <v>250</v>
      </c>
      <c r="C19" s="18">
        <v>45658</v>
      </c>
      <c r="D19" t="str">
        <f t="shared" si="0"/>
        <v>432</v>
      </c>
      <c r="E19" s="18">
        <v>45642</v>
      </c>
      <c r="F19" t="s">
        <v>274</v>
      </c>
      <c r="G19" t="s">
        <v>247</v>
      </c>
      <c r="H19" t="s">
        <v>275</v>
      </c>
      <c r="L19" s="35">
        <v>15200</v>
      </c>
    </row>
    <row r="20" spans="1:12" x14ac:dyDescent="0.25">
      <c r="A20">
        <v>0</v>
      </c>
      <c r="B20" t="s">
        <v>250</v>
      </c>
      <c r="C20" s="18">
        <v>45658</v>
      </c>
      <c r="D20" t="str">
        <f t="shared" si="0"/>
        <v>432</v>
      </c>
      <c r="E20" s="18">
        <v>45642</v>
      </c>
      <c r="F20" t="str">
        <f>"0124"</f>
        <v>0124</v>
      </c>
      <c r="G20" t="s">
        <v>247</v>
      </c>
      <c r="H20" t="s">
        <v>276</v>
      </c>
      <c r="L20" s="35">
        <v>148800</v>
      </c>
    </row>
    <row r="21" spans="1:12" x14ac:dyDescent="0.25">
      <c r="A21">
        <v>0</v>
      </c>
      <c r="B21" t="s">
        <v>250</v>
      </c>
      <c r="C21" s="18">
        <v>45658</v>
      </c>
      <c r="D21" t="str">
        <f t="shared" si="0"/>
        <v>432</v>
      </c>
      <c r="E21" s="18">
        <v>45649</v>
      </c>
      <c r="F21" t="str">
        <f>"41130"</f>
        <v>41130</v>
      </c>
      <c r="G21" t="s">
        <v>247</v>
      </c>
      <c r="H21" t="s">
        <v>277</v>
      </c>
      <c r="L21" s="35">
        <v>28000</v>
      </c>
    </row>
    <row r="22" spans="1:12" x14ac:dyDescent="0.25">
      <c r="A22">
        <v>0</v>
      </c>
      <c r="B22" t="s">
        <v>250</v>
      </c>
      <c r="C22" s="18">
        <v>45658</v>
      </c>
      <c r="D22" t="str">
        <f t="shared" si="0"/>
        <v>432</v>
      </c>
      <c r="E22" s="18">
        <v>45649</v>
      </c>
      <c r="F22" t="s">
        <v>278</v>
      </c>
      <c r="G22" t="s">
        <v>247</v>
      </c>
      <c r="H22" t="s">
        <v>279</v>
      </c>
      <c r="L22" s="35">
        <v>28000</v>
      </c>
    </row>
    <row r="23" spans="1:12" x14ac:dyDescent="0.25">
      <c r="A23">
        <v>0</v>
      </c>
      <c r="B23" t="s">
        <v>250</v>
      </c>
      <c r="C23" s="18">
        <v>45658</v>
      </c>
      <c r="D23" t="str">
        <f t="shared" si="0"/>
        <v>432</v>
      </c>
      <c r="E23" s="18">
        <v>45649</v>
      </c>
      <c r="F23" t="s">
        <v>280</v>
      </c>
      <c r="G23" t="s">
        <v>247</v>
      </c>
      <c r="H23" t="s">
        <v>281</v>
      </c>
      <c r="L23" s="35">
        <v>162160</v>
      </c>
    </row>
    <row r="24" spans="1:12" x14ac:dyDescent="0.25">
      <c r="A24">
        <v>0</v>
      </c>
      <c r="B24" t="s">
        <v>250</v>
      </c>
      <c r="C24" s="18">
        <v>45658</v>
      </c>
      <c r="D24" t="str">
        <f t="shared" si="0"/>
        <v>432</v>
      </c>
      <c r="E24" s="18">
        <v>45649</v>
      </c>
      <c r="F24" t="s">
        <v>282</v>
      </c>
      <c r="G24" t="s">
        <v>247</v>
      </c>
      <c r="H24" t="s">
        <v>283</v>
      </c>
      <c r="L24" s="35">
        <v>19360</v>
      </c>
    </row>
    <row r="25" spans="1:12" x14ac:dyDescent="0.25">
      <c r="A25">
        <v>0</v>
      </c>
      <c r="B25" t="s">
        <v>250</v>
      </c>
      <c r="C25" s="18">
        <v>45658</v>
      </c>
      <c r="D25" t="str">
        <f t="shared" si="0"/>
        <v>432</v>
      </c>
      <c r="E25" s="18">
        <v>45649</v>
      </c>
      <c r="F25" t="str">
        <f>"343404"</f>
        <v>343404</v>
      </c>
      <c r="G25" t="s">
        <v>247</v>
      </c>
      <c r="H25" t="s">
        <v>284</v>
      </c>
      <c r="L25" s="35">
        <v>1124224</v>
      </c>
    </row>
    <row r="26" spans="1:12" x14ac:dyDescent="0.25">
      <c r="A26">
        <v>0</v>
      </c>
      <c r="B26" t="s">
        <v>250</v>
      </c>
      <c r="C26" s="18">
        <v>45658</v>
      </c>
      <c r="D26" t="str">
        <f t="shared" si="0"/>
        <v>432</v>
      </c>
      <c r="E26" s="18">
        <v>45649</v>
      </c>
      <c r="F26" s="31" t="s">
        <v>285</v>
      </c>
      <c r="G26" t="s">
        <v>247</v>
      </c>
      <c r="H26" t="s">
        <v>286</v>
      </c>
      <c r="L26" s="35">
        <v>227840</v>
      </c>
    </row>
    <row r="27" spans="1:12" x14ac:dyDescent="0.25">
      <c r="A27">
        <v>0</v>
      </c>
      <c r="B27" t="s">
        <v>250</v>
      </c>
      <c r="C27" s="18">
        <v>45658</v>
      </c>
      <c r="D27" t="str">
        <f t="shared" si="0"/>
        <v>432</v>
      </c>
      <c r="E27" s="18">
        <v>45649</v>
      </c>
      <c r="F27" t="s">
        <v>287</v>
      </c>
      <c r="G27" t="s">
        <v>247</v>
      </c>
      <c r="H27" t="s">
        <v>288</v>
      </c>
      <c r="L27" s="35">
        <v>165200</v>
      </c>
    </row>
    <row r="28" spans="1:12" x14ac:dyDescent="0.25">
      <c r="A28">
        <v>0</v>
      </c>
      <c r="B28" t="s">
        <v>250</v>
      </c>
      <c r="C28" s="18">
        <v>45658</v>
      </c>
      <c r="D28" t="str">
        <f t="shared" si="0"/>
        <v>432</v>
      </c>
      <c r="E28" s="18">
        <v>45649</v>
      </c>
      <c r="F28" t="s">
        <v>289</v>
      </c>
      <c r="G28" t="s">
        <v>247</v>
      </c>
      <c r="H28" t="s">
        <v>290</v>
      </c>
      <c r="L28" s="35">
        <v>1094880</v>
      </c>
    </row>
    <row r="29" spans="1:12" x14ac:dyDescent="0.25">
      <c r="A29">
        <v>0</v>
      </c>
      <c r="B29" t="s">
        <v>250</v>
      </c>
      <c r="C29" s="18">
        <v>45658</v>
      </c>
      <c r="D29" t="str">
        <f t="shared" si="0"/>
        <v>432</v>
      </c>
      <c r="E29" s="18">
        <v>45649</v>
      </c>
      <c r="F29" t="s">
        <v>291</v>
      </c>
      <c r="G29" t="s">
        <v>247</v>
      </c>
      <c r="H29" t="s">
        <v>292</v>
      </c>
      <c r="L29" s="35">
        <v>48000</v>
      </c>
    </row>
    <row r="30" spans="1:12" x14ac:dyDescent="0.25">
      <c r="A30">
        <v>0</v>
      </c>
      <c r="B30" t="s">
        <v>250</v>
      </c>
      <c r="C30" s="18">
        <v>45658</v>
      </c>
      <c r="D30" t="str">
        <f t="shared" si="0"/>
        <v>432</v>
      </c>
      <c r="E30" s="18">
        <v>45649</v>
      </c>
      <c r="F30" t="s">
        <v>293</v>
      </c>
      <c r="G30" t="s">
        <v>247</v>
      </c>
      <c r="H30" t="s">
        <v>294</v>
      </c>
      <c r="L30" s="35">
        <v>455520</v>
      </c>
    </row>
    <row r="31" spans="1:12" x14ac:dyDescent="0.25">
      <c r="A31">
        <v>0</v>
      </c>
      <c r="B31" t="s">
        <v>250</v>
      </c>
      <c r="C31" s="18">
        <v>45658</v>
      </c>
      <c r="D31" t="str">
        <f t="shared" si="0"/>
        <v>432</v>
      </c>
      <c r="E31" s="18">
        <v>45649</v>
      </c>
      <c r="F31" t="s">
        <v>295</v>
      </c>
      <c r="G31" t="s">
        <v>247</v>
      </c>
      <c r="H31" t="s">
        <v>296</v>
      </c>
      <c r="L31" s="35">
        <v>24000</v>
      </c>
    </row>
    <row r="32" spans="1:12" x14ac:dyDescent="0.25">
      <c r="A32">
        <v>0</v>
      </c>
      <c r="B32" t="s">
        <v>250</v>
      </c>
      <c r="C32" s="18">
        <v>45658</v>
      </c>
      <c r="D32" t="str">
        <f t="shared" si="0"/>
        <v>432</v>
      </c>
      <c r="E32" s="18">
        <v>45649</v>
      </c>
      <c r="F32" t="s">
        <v>297</v>
      </c>
      <c r="G32" t="s">
        <v>247</v>
      </c>
      <c r="H32" t="s">
        <v>298</v>
      </c>
      <c r="L32" s="35">
        <v>56000</v>
      </c>
    </row>
    <row r="33" spans="1:12" x14ac:dyDescent="0.25">
      <c r="A33">
        <v>0</v>
      </c>
      <c r="B33" t="s">
        <v>250</v>
      </c>
      <c r="C33" s="18">
        <v>45658</v>
      </c>
      <c r="D33" t="str">
        <f t="shared" si="0"/>
        <v>432</v>
      </c>
      <c r="E33" s="18">
        <v>45649</v>
      </c>
      <c r="F33" t="str">
        <f>"17517"</f>
        <v>17517</v>
      </c>
      <c r="G33" t="s">
        <v>247</v>
      </c>
      <c r="H33" t="s">
        <v>299</v>
      </c>
      <c r="L33" s="35">
        <v>609600</v>
      </c>
    </row>
    <row r="34" spans="1:12" x14ac:dyDescent="0.25">
      <c r="A34">
        <v>0</v>
      </c>
      <c r="B34" t="s">
        <v>250</v>
      </c>
      <c r="C34" s="18">
        <v>45658</v>
      </c>
      <c r="D34" t="str">
        <f t="shared" si="0"/>
        <v>432</v>
      </c>
      <c r="E34" s="18">
        <v>45649</v>
      </c>
      <c r="F34" t="s">
        <v>300</v>
      </c>
      <c r="G34" t="s">
        <v>247</v>
      </c>
      <c r="H34" t="s">
        <v>301</v>
      </c>
      <c r="L34" s="35">
        <v>32000</v>
      </c>
    </row>
    <row r="35" spans="1:12" x14ac:dyDescent="0.25">
      <c r="A35">
        <v>0</v>
      </c>
      <c r="B35" t="s">
        <v>250</v>
      </c>
      <c r="C35" s="18">
        <v>45658</v>
      </c>
      <c r="D35" t="str">
        <f t="shared" si="0"/>
        <v>432</v>
      </c>
      <c r="E35" s="18">
        <v>45649</v>
      </c>
      <c r="F35" t="s">
        <v>302</v>
      </c>
      <c r="G35" t="s">
        <v>247</v>
      </c>
      <c r="H35" t="s">
        <v>303</v>
      </c>
      <c r="L35" s="35">
        <v>12800</v>
      </c>
    </row>
    <row r="36" spans="1:12" x14ac:dyDescent="0.25">
      <c r="A36">
        <v>0</v>
      </c>
      <c r="B36" t="s">
        <v>250</v>
      </c>
      <c r="C36" s="18">
        <v>45658</v>
      </c>
      <c r="D36" t="str">
        <f t="shared" si="0"/>
        <v>432</v>
      </c>
      <c r="E36" s="18">
        <v>45649</v>
      </c>
      <c r="F36" t="s">
        <v>304</v>
      </c>
      <c r="G36" t="s">
        <v>247</v>
      </c>
      <c r="H36" t="s">
        <v>305</v>
      </c>
      <c r="L36" s="35">
        <v>29520</v>
      </c>
    </row>
    <row r="37" spans="1:12" x14ac:dyDescent="0.25">
      <c r="A37">
        <v>0</v>
      </c>
      <c r="B37" t="s">
        <v>250</v>
      </c>
      <c r="C37" s="18">
        <v>45658</v>
      </c>
      <c r="D37" t="str">
        <f t="shared" si="0"/>
        <v>432</v>
      </c>
      <c r="E37" s="18">
        <v>45649</v>
      </c>
      <c r="F37" t="s">
        <v>306</v>
      </c>
      <c r="G37" t="s">
        <v>247</v>
      </c>
      <c r="H37" t="s">
        <v>307</v>
      </c>
      <c r="L37" s="35">
        <v>28000</v>
      </c>
    </row>
    <row r="38" spans="1:12" x14ac:dyDescent="0.25">
      <c r="A38">
        <v>0</v>
      </c>
      <c r="B38" t="s">
        <v>250</v>
      </c>
      <c r="C38" s="18">
        <v>45658</v>
      </c>
      <c r="D38" t="str">
        <f t="shared" si="0"/>
        <v>432</v>
      </c>
      <c r="E38" s="18">
        <v>45652</v>
      </c>
      <c r="F38" t="s">
        <v>308</v>
      </c>
      <c r="G38" t="s">
        <v>247</v>
      </c>
      <c r="H38" t="s">
        <v>309</v>
      </c>
      <c r="L38" s="35">
        <v>156400</v>
      </c>
    </row>
    <row r="39" spans="1:12" x14ac:dyDescent="0.25">
      <c r="A39">
        <v>0</v>
      </c>
      <c r="B39" t="s">
        <v>250</v>
      </c>
      <c r="C39" s="18">
        <v>45658</v>
      </c>
      <c r="D39" t="str">
        <f t="shared" si="0"/>
        <v>432</v>
      </c>
      <c r="E39" s="18">
        <v>45657</v>
      </c>
      <c r="F39" t="s">
        <v>310</v>
      </c>
      <c r="G39" t="s">
        <v>247</v>
      </c>
      <c r="H39" t="s">
        <v>311</v>
      </c>
      <c r="L39" s="35">
        <v>28000</v>
      </c>
    </row>
    <row r="40" spans="1:12" x14ac:dyDescent="0.25">
      <c r="A40">
        <v>0</v>
      </c>
      <c r="B40" t="s">
        <v>250</v>
      </c>
      <c r="C40" s="18">
        <v>45658</v>
      </c>
      <c r="D40" t="str">
        <f t="shared" si="0"/>
        <v>432</v>
      </c>
      <c r="E40" s="18">
        <v>45657</v>
      </c>
      <c r="F40" t="s">
        <v>312</v>
      </c>
      <c r="G40" t="s">
        <v>247</v>
      </c>
      <c r="H40" t="s">
        <v>313</v>
      </c>
      <c r="L40" s="35">
        <v>65600</v>
      </c>
    </row>
    <row r="41" spans="1:12" x14ac:dyDescent="0.25">
      <c r="A41">
        <v>0</v>
      </c>
      <c r="B41" t="s">
        <v>250</v>
      </c>
      <c r="C41" s="18">
        <v>45658</v>
      </c>
      <c r="D41" t="str">
        <f t="shared" si="0"/>
        <v>432</v>
      </c>
      <c r="E41" s="18">
        <v>45657</v>
      </c>
      <c r="F41" t="str">
        <f>"2093"</f>
        <v>2093</v>
      </c>
      <c r="G41" t="s">
        <v>247</v>
      </c>
      <c r="H41" t="s">
        <v>314</v>
      </c>
      <c r="L41" s="35">
        <v>400000</v>
      </c>
    </row>
    <row r="42" spans="1:12" x14ac:dyDescent="0.25">
      <c r="A42">
        <v>0</v>
      </c>
      <c r="B42" t="s">
        <v>250</v>
      </c>
      <c r="C42" s="18">
        <v>45658</v>
      </c>
      <c r="D42" t="str">
        <f t="shared" si="0"/>
        <v>432</v>
      </c>
      <c r="E42" s="18">
        <v>45657</v>
      </c>
      <c r="F42" t="s">
        <v>315</v>
      </c>
      <c r="G42" t="s">
        <v>247</v>
      </c>
      <c r="H42" t="s">
        <v>316</v>
      </c>
      <c r="L42" s="35">
        <v>2487200</v>
      </c>
    </row>
    <row r="43" spans="1:12" x14ac:dyDescent="0.25">
      <c r="A43">
        <v>0</v>
      </c>
      <c r="B43" t="s">
        <v>250</v>
      </c>
      <c r="C43" s="18">
        <v>45658</v>
      </c>
      <c r="D43" t="str">
        <f t="shared" si="0"/>
        <v>432</v>
      </c>
      <c r="E43" s="18">
        <v>45657</v>
      </c>
      <c r="F43" t="s">
        <v>317</v>
      </c>
      <c r="G43" t="s">
        <v>247</v>
      </c>
      <c r="H43" t="s">
        <v>318</v>
      </c>
      <c r="L43" s="35">
        <v>388000</v>
      </c>
    </row>
    <row r="44" spans="1:12" x14ac:dyDescent="0.25">
      <c r="A44">
        <v>0</v>
      </c>
      <c r="B44" t="s">
        <v>250</v>
      </c>
      <c r="C44" s="18">
        <v>45658</v>
      </c>
      <c r="D44" t="str">
        <f t="shared" si="0"/>
        <v>432</v>
      </c>
      <c r="E44" s="18">
        <v>45657</v>
      </c>
      <c r="F44" t="s">
        <v>319</v>
      </c>
      <c r="G44" t="s">
        <v>247</v>
      </c>
      <c r="H44" t="s">
        <v>320</v>
      </c>
      <c r="L44" s="35">
        <v>420280</v>
      </c>
    </row>
    <row r="45" spans="1:12" x14ac:dyDescent="0.25">
      <c r="A45">
        <v>0</v>
      </c>
      <c r="B45" t="s">
        <v>250</v>
      </c>
      <c r="C45" s="18">
        <v>45658</v>
      </c>
      <c r="D45" t="str">
        <f t="shared" si="0"/>
        <v>432</v>
      </c>
      <c r="E45" s="18">
        <v>45657</v>
      </c>
      <c r="F45" t="str">
        <f>"344172"</f>
        <v>344172</v>
      </c>
      <c r="G45" t="s">
        <v>247</v>
      </c>
      <c r="H45" t="s">
        <v>321</v>
      </c>
      <c r="L45" s="35">
        <v>1169600</v>
      </c>
    </row>
    <row r="46" spans="1:12" x14ac:dyDescent="0.25">
      <c r="A46">
        <v>0</v>
      </c>
      <c r="B46" t="s">
        <v>250</v>
      </c>
      <c r="C46" s="18">
        <v>45658</v>
      </c>
      <c r="D46" t="str">
        <f t="shared" si="0"/>
        <v>432</v>
      </c>
      <c r="E46" s="18">
        <v>45657</v>
      </c>
      <c r="F46" t="str">
        <f>"17555"</f>
        <v>17555</v>
      </c>
      <c r="G46" t="s">
        <v>247</v>
      </c>
      <c r="H46" t="s">
        <v>322</v>
      </c>
      <c r="L46" s="35">
        <v>720000</v>
      </c>
    </row>
    <row r="47" spans="1:12" x14ac:dyDescent="0.25">
      <c r="A47">
        <v>0</v>
      </c>
      <c r="B47" t="s">
        <v>250</v>
      </c>
      <c r="C47" s="18">
        <v>45658</v>
      </c>
      <c r="D47" t="str">
        <f t="shared" si="0"/>
        <v>432</v>
      </c>
      <c r="E47" s="18">
        <v>45657</v>
      </c>
      <c r="F47" t="s">
        <v>323</v>
      </c>
      <c r="G47" t="s">
        <v>247</v>
      </c>
      <c r="H47" t="s">
        <v>324</v>
      </c>
      <c r="L47" s="35">
        <v>248000</v>
      </c>
    </row>
    <row r="48" spans="1:12" x14ac:dyDescent="0.25">
      <c r="A48">
        <v>0</v>
      </c>
      <c r="B48" t="s">
        <v>250</v>
      </c>
      <c r="C48" s="18">
        <v>45658</v>
      </c>
      <c r="D48" t="str">
        <f t="shared" si="0"/>
        <v>432</v>
      </c>
      <c r="E48" s="18">
        <v>45657</v>
      </c>
      <c r="F48" t="s">
        <v>325</v>
      </c>
      <c r="G48" t="s">
        <v>247</v>
      </c>
      <c r="H48" t="s">
        <v>326</v>
      </c>
      <c r="L48" s="35">
        <v>454000</v>
      </c>
    </row>
    <row r="49" spans="1:12" x14ac:dyDescent="0.25">
      <c r="A49">
        <v>0</v>
      </c>
      <c r="B49" t="s">
        <v>250</v>
      </c>
      <c r="C49" s="18">
        <v>45658</v>
      </c>
      <c r="D49" t="str">
        <f t="shared" si="0"/>
        <v>432</v>
      </c>
      <c r="E49" s="18">
        <v>45657</v>
      </c>
      <c r="F49" t="s">
        <v>327</v>
      </c>
      <c r="G49" t="s">
        <v>247</v>
      </c>
      <c r="H49" t="s">
        <v>328</v>
      </c>
      <c r="L49" s="35">
        <v>96000</v>
      </c>
    </row>
    <row r="50" spans="1:12" x14ac:dyDescent="0.25">
      <c r="A50">
        <v>0</v>
      </c>
      <c r="B50" t="s">
        <v>250</v>
      </c>
      <c r="C50" s="18">
        <v>45658</v>
      </c>
      <c r="D50" t="str">
        <f t="shared" si="0"/>
        <v>432</v>
      </c>
      <c r="E50" s="18">
        <v>45657</v>
      </c>
      <c r="F50" t="s">
        <v>329</v>
      </c>
      <c r="G50" t="s">
        <v>247</v>
      </c>
      <c r="H50" t="s">
        <v>330</v>
      </c>
      <c r="L50" s="35">
        <v>32000</v>
      </c>
    </row>
    <row r="51" spans="1:12" x14ac:dyDescent="0.25">
      <c r="A51">
        <v>0</v>
      </c>
      <c r="B51" t="s">
        <v>250</v>
      </c>
      <c r="C51" s="18">
        <v>45658</v>
      </c>
      <c r="D51" t="str">
        <f t="shared" si="0"/>
        <v>432</v>
      </c>
      <c r="E51" s="18">
        <v>45657</v>
      </c>
      <c r="F51" t="s">
        <v>331</v>
      </c>
      <c r="G51" t="s">
        <v>247</v>
      </c>
      <c r="H51" t="s">
        <v>332</v>
      </c>
      <c r="L51" s="35">
        <v>881880</v>
      </c>
    </row>
    <row r="52" spans="1:12" x14ac:dyDescent="0.25">
      <c r="A52">
        <v>0</v>
      </c>
      <c r="B52" t="s">
        <v>250</v>
      </c>
      <c r="C52" s="18">
        <v>45658</v>
      </c>
      <c r="D52" t="str">
        <f t="shared" si="0"/>
        <v>432</v>
      </c>
      <c r="E52" s="18">
        <v>45657</v>
      </c>
      <c r="F52" t="s">
        <v>333</v>
      </c>
      <c r="G52" t="s">
        <v>247</v>
      </c>
      <c r="H52" t="s">
        <v>334</v>
      </c>
      <c r="L52" s="35">
        <v>1480000</v>
      </c>
    </row>
    <row r="53" spans="1:12" x14ac:dyDescent="0.25">
      <c r="A53">
        <v>0</v>
      </c>
      <c r="B53" t="s">
        <v>250</v>
      </c>
      <c r="C53" s="18">
        <v>45658</v>
      </c>
      <c r="D53" t="str">
        <f t="shared" si="0"/>
        <v>432</v>
      </c>
      <c r="E53" s="18">
        <v>45657</v>
      </c>
      <c r="F53" t="s">
        <v>335</v>
      </c>
      <c r="G53" t="s">
        <v>247</v>
      </c>
      <c r="H53" t="s">
        <v>336</v>
      </c>
      <c r="L53" s="35">
        <v>152960</v>
      </c>
    </row>
    <row r="54" spans="1:12" x14ac:dyDescent="0.25">
      <c r="A54">
        <v>0</v>
      </c>
      <c r="B54" t="s">
        <v>337</v>
      </c>
      <c r="C54" s="18">
        <v>45685</v>
      </c>
      <c r="D54" t="str">
        <f>"518"</f>
        <v>518</v>
      </c>
      <c r="E54" t="str">
        <f>"00013102"</f>
        <v>00013102</v>
      </c>
      <c r="G54" t="s">
        <v>247</v>
      </c>
      <c r="H54" t="s">
        <v>338</v>
      </c>
      <c r="L54" s="35">
        <v>19603483.02</v>
      </c>
    </row>
    <row r="55" spans="1:12" x14ac:dyDescent="0.25">
      <c r="A55">
        <v>0</v>
      </c>
      <c r="B55" t="s">
        <v>337</v>
      </c>
      <c r="C55" s="18">
        <v>45688</v>
      </c>
      <c r="D55" t="str">
        <f>"628"</f>
        <v>628</v>
      </c>
      <c r="E55" s="18">
        <v>45688</v>
      </c>
      <c r="G55" t="s">
        <v>247</v>
      </c>
      <c r="H55" t="s">
        <v>339</v>
      </c>
      <c r="L55" s="35">
        <v>10800</v>
      </c>
    </row>
    <row r="56" spans="1:12" x14ac:dyDescent="0.25">
      <c r="A56">
        <v>0</v>
      </c>
      <c r="B56" t="s">
        <v>337</v>
      </c>
      <c r="C56" s="18">
        <v>45688</v>
      </c>
      <c r="D56" t="str">
        <f>"629"</f>
        <v>629</v>
      </c>
      <c r="E56" s="18">
        <v>45808</v>
      </c>
      <c r="G56" t="s">
        <v>247</v>
      </c>
      <c r="H56" t="s">
        <v>340</v>
      </c>
      <c r="L56" s="35">
        <v>44296.25</v>
      </c>
    </row>
    <row r="57" spans="1:12" x14ac:dyDescent="0.25">
      <c r="A57">
        <v>0</v>
      </c>
      <c r="B57" t="s">
        <v>337</v>
      </c>
      <c r="C57" s="18">
        <v>45673</v>
      </c>
      <c r="D57" t="str">
        <f>"630"</f>
        <v>630</v>
      </c>
      <c r="E57" s="18">
        <v>45673</v>
      </c>
      <c r="G57" t="s">
        <v>247</v>
      </c>
      <c r="H57" t="s">
        <v>341</v>
      </c>
      <c r="L57" s="35">
        <v>3000</v>
      </c>
    </row>
    <row r="58" spans="1:12" x14ac:dyDescent="0.25">
      <c r="A58">
        <v>0</v>
      </c>
      <c r="B58" t="s">
        <v>337</v>
      </c>
      <c r="C58" s="18">
        <v>45681</v>
      </c>
      <c r="D58" t="str">
        <f>"631"</f>
        <v>631</v>
      </c>
      <c r="E58" s="18">
        <v>45681</v>
      </c>
      <c r="G58" t="s">
        <v>247</v>
      </c>
      <c r="H58" t="s">
        <v>342</v>
      </c>
      <c r="L58" s="35">
        <v>3000</v>
      </c>
    </row>
    <row r="59" spans="1:12" x14ac:dyDescent="0.25">
      <c r="A59">
        <v>0</v>
      </c>
      <c r="B59" t="s">
        <v>250</v>
      </c>
      <c r="C59" s="18">
        <v>45658</v>
      </c>
      <c r="D59" t="str">
        <f t="shared" ref="D59:D69" si="1">"889"</f>
        <v>889</v>
      </c>
      <c r="E59" s="18">
        <v>45647</v>
      </c>
      <c r="F59" t="s">
        <v>343</v>
      </c>
      <c r="G59" t="s">
        <v>247</v>
      </c>
      <c r="H59" t="s">
        <v>344</v>
      </c>
      <c r="L59" s="35">
        <v>32000</v>
      </c>
    </row>
    <row r="60" spans="1:12" x14ac:dyDescent="0.25">
      <c r="A60">
        <v>0</v>
      </c>
      <c r="B60" t="s">
        <v>250</v>
      </c>
      <c r="C60" s="18">
        <v>45658</v>
      </c>
      <c r="D60" t="str">
        <f t="shared" si="1"/>
        <v>889</v>
      </c>
      <c r="E60" s="18">
        <v>45657</v>
      </c>
      <c r="F60" t="s">
        <v>345</v>
      </c>
      <c r="G60" t="s">
        <v>247</v>
      </c>
      <c r="H60" t="s">
        <v>346</v>
      </c>
      <c r="L60" s="35">
        <v>1237520</v>
      </c>
    </row>
    <row r="61" spans="1:12" x14ac:dyDescent="0.25">
      <c r="A61">
        <v>0</v>
      </c>
      <c r="B61" t="s">
        <v>250</v>
      </c>
      <c r="C61" s="18">
        <v>45658</v>
      </c>
      <c r="D61" t="str">
        <f t="shared" si="1"/>
        <v>889</v>
      </c>
      <c r="E61" s="18">
        <v>45657</v>
      </c>
      <c r="F61" t="s">
        <v>347</v>
      </c>
      <c r="G61" t="s">
        <v>247</v>
      </c>
      <c r="H61" t="s">
        <v>348</v>
      </c>
      <c r="L61" s="35">
        <v>29120</v>
      </c>
    </row>
    <row r="62" spans="1:12" x14ac:dyDescent="0.25">
      <c r="A62">
        <v>0</v>
      </c>
      <c r="B62" t="s">
        <v>250</v>
      </c>
      <c r="C62" s="18">
        <v>45658</v>
      </c>
      <c r="D62" t="str">
        <f t="shared" si="1"/>
        <v>889</v>
      </c>
      <c r="E62" s="18">
        <v>45657</v>
      </c>
      <c r="F62" t="s">
        <v>349</v>
      </c>
      <c r="G62" t="s">
        <v>247</v>
      </c>
      <c r="H62" t="s">
        <v>350</v>
      </c>
      <c r="L62" s="35">
        <v>82880</v>
      </c>
    </row>
    <row r="63" spans="1:12" x14ac:dyDescent="0.25">
      <c r="A63">
        <v>0</v>
      </c>
      <c r="B63" t="s">
        <v>250</v>
      </c>
      <c r="C63" s="18">
        <v>45658</v>
      </c>
      <c r="D63" t="str">
        <f t="shared" si="1"/>
        <v>889</v>
      </c>
      <c r="E63" s="18">
        <v>45657</v>
      </c>
      <c r="F63" t="s">
        <v>351</v>
      </c>
      <c r="G63" t="s">
        <v>247</v>
      </c>
      <c r="H63" t="s">
        <v>352</v>
      </c>
      <c r="L63" s="35">
        <v>72800</v>
      </c>
    </row>
    <row r="64" spans="1:12" x14ac:dyDescent="0.25">
      <c r="A64">
        <v>0</v>
      </c>
      <c r="B64" t="s">
        <v>250</v>
      </c>
      <c r="C64" s="18">
        <v>45658</v>
      </c>
      <c r="D64" t="str">
        <f t="shared" si="1"/>
        <v>889</v>
      </c>
      <c r="E64" s="18">
        <v>45657</v>
      </c>
      <c r="F64" t="s">
        <v>353</v>
      </c>
      <c r="G64" t="s">
        <v>247</v>
      </c>
      <c r="H64" t="s">
        <v>354</v>
      </c>
      <c r="L64" s="35">
        <v>506960</v>
      </c>
    </row>
    <row r="65" spans="1:12" x14ac:dyDescent="0.25">
      <c r="A65">
        <v>0</v>
      </c>
      <c r="B65" t="s">
        <v>250</v>
      </c>
      <c r="C65" s="18">
        <v>45658</v>
      </c>
      <c r="D65" t="str">
        <f t="shared" si="1"/>
        <v>889</v>
      </c>
      <c r="E65" s="18">
        <v>45657</v>
      </c>
      <c r="F65" t="s">
        <v>355</v>
      </c>
      <c r="G65" t="s">
        <v>247</v>
      </c>
      <c r="H65" t="s">
        <v>356</v>
      </c>
      <c r="L65" s="35">
        <v>60800</v>
      </c>
    </row>
    <row r="66" spans="1:12" x14ac:dyDescent="0.25">
      <c r="A66">
        <v>0</v>
      </c>
      <c r="B66" t="s">
        <v>250</v>
      </c>
      <c r="C66" s="18">
        <v>45658</v>
      </c>
      <c r="D66" t="str">
        <f t="shared" si="1"/>
        <v>889</v>
      </c>
      <c r="E66" s="18">
        <v>45657</v>
      </c>
      <c r="F66" t="s">
        <v>357</v>
      </c>
      <c r="G66" t="s">
        <v>247</v>
      </c>
      <c r="H66" t="s">
        <v>358</v>
      </c>
      <c r="L66" s="35">
        <v>10080</v>
      </c>
    </row>
    <row r="67" spans="1:12" x14ac:dyDescent="0.25">
      <c r="A67">
        <v>0</v>
      </c>
      <c r="B67" t="s">
        <v>250</v>
      </c>
      <c r="C67" s="18">
        <v>45658</v>
      </c>
      <c r="D67" t="str">
        <f t="shared" si="1"/>
        <v>889</v>
      </c>
      <c r="E67" s="18">
        <v>45657</v>
      </c>
      <c r="F67" t="s">
        <v>359</v>
      </c>
      <c r="G67" t="s">
        <v>247</v>
      </c>
      <c r="H67" t="s">
        <v>360</v>
      </c>
      <c r="L67" s="35">
        <v>30320</v>
      </c>
    </row>
    <row r="68" spans="1:12" x14ac:dyDescent="0.25">
      <c r="A68">
        <v>0</v>
      </c>
      <c r="B68" t="s">
        <v>250</v>
      </c>
      <c r="C68" s="18">
        <v>45658</v>
      </c>
      <c r="D68" t="str">
        <f t="shared" si="1"/>
        <v>889</v>
      </c>
      <c r="E68" s="18">
        <v>45657</v>
      </c>
      <c r="F68" t="s">
        <v>361</v>
      </c>
      <c r="G68" t="s">
        <v>247</v>
      </c>
      <c r="H68" t="s">
        <v>362</v>
      </c>
      <c r="L68" s="35">
        <v>78160</v>
      </c>
    </row>
    <row r="69" spans="1:12" x14ac:dyDescent="0.25">
      <c r="A69">
        <v>0</v>
      </c>
      <c r="B69" t="s">
        <v>250</v>
      </c>
      <c r="C69" s="18">
        <v>45658</v>
      </c>
      <c r="D69" t="str">
        <f t="shared" si="1"/>
        <v>889</v>
      </c>
      <c r="E69" s="18">
        <v>45657</v>
      </c>
      <c r="F69" t="s">
        <v>363</v>
      </c>
      <c r="G69" t="s">
        <v>247</v>
      </c>
      <c r="H69" t="s">
        <v>364</v>
      </c>
      <c r="L69" s="35">
        <v>30640</v>
      </c>
    </row>
    <row r="70" spans="1:12" x14ac:dyDescent="0.25">
      <c r="A70">
        <v>0</v>
      </c>
      <c r="B70" t="s">
        <v>250</v>
      </c>
      <c r="C70" s="18">
        <v>45674</v>
      </c>
      <c r="D70" t="str">
        <f>"890"</f>
        <v>890</v>
      </c>
      <c r="E70" s="18">
        <v>45674</v>
      </c>
      <c r="F70" t="str">
        <f>"21900"</f>
        <v>21900</v>
      </c>
      <c r="G70" t="s">
        <v>247</v>
      </c>
      <c r="H70" t="s">
        <v>365</v>
      </c>
      <c r="L70" s="35">
        <v>19280</v>
      </c>
    </row>
    <row r="71" spans="1:12" x14ac:dyDescent="0.25">
      <c r="A71">
        <v>0</v>
      </c>
      <c r="B71" t="s">
        <v>250</v>
      </c>
      <c r="C71" s="18">
        <v>45688</v>
      </c>
      <c r="D71" t="str">
        <f t="shared" ref="D71:D90" si="2">"1048"</f>
        <v>1048</v>
      </c>
      <c r="E71" s="18">
        <v>45688</v>
      </c>
      <c r="F71" t="s">
        <v>366</v>
      </c>
      <c r="G71" t="s">
        <v>247</v>
      </c>
      <c r="H71" t="s">
        <v>367</v>
      </c>
      <c r="L71" s="35">
        <v>185600</v>
      </c>
    </row>
    <row r="72" spans="1:12" x14ac:dyDescent="0.25">
      <c r="A72">
        <v>0</v>
      </c>
      <c r="B72" t="s">
        <v>250</v>
      </c>
      <c r="C72" s="18">
        <v>45688</v>
      </c>
      <c r="D72" t="str">
        <f t="shared" si="2"/>
        <v>1048</v>
      </c>
      <c r="E72" s="18">
        <v>45688</v>
      </c>
      <c r="F72" t="s">
        <v>368</v>
      </c>
      <c r="G72" t="s">
        <v>247</v>
      </c>
      <c r="H72" t="s">
        <v>369</v>
      </c>
      <c r="L72" s="35">
        <v>124800</v>
      </c>
    </row>
    <row r="73" spans="1:12" x14ac:dyDescent="0.25">
      <c r="A73">
        <v>0</v>
      </c>
      <c r="B73" t="s">
        <v>250</v>
      </c>
      <c r="C73" s="18">
        <v>45688</v>
      </c>
      <c r="D73" t="str">
        <f t="shared" si="2"/>
        <v>1048</v>
      </c>
      <c r="E73" s="18">
        <v>45688</v>
      </c>
      <c r="F73" t="s">
        <v>370</v>
      </c>
      <c r="G73" t="s">
        <v>247</v>
      </c>
      <c r="H73" t="s">
        <v>371</v>
      </c>
      <c r="L73" s="35">
        <v>2045513</v>
      </c>
    </row>
    <row r="74" spans="1:12" x14ac:dyDescent="0.25">
      <c r="A74">
        <v>0</v>
      </c>
      <c r="B74" t="s">
        <v>250</v>
      </c>
      <c r="C74" s="18">
        <v>45688</v>
      </c>
      <c r="D74" t="str">
        <f t="shared" si="2"/>
        <v>1048</v>
      </c>
      <c r="E74" s="18">
        <v>45688</v>
      </c>
      <c r="F74" t="s">
        <v>372</v>
      </c>
      <c r="G74" t="s">
        <v>247</v>
      </c>
      <c r="H74" t="s">
        <v>373</v>
      </c>
      <c r="L74" s="35">
        <v>739360</v>
      </c>
    </row>
    <row r="75" spans="1:12" x14ac:dyDescent="0.25">
      <c r="A75">
        <v>0</v>
      </c>
      <c r="B75" t="s">
        <v>250</v>
      </c>
      <c r="C75" s="18">
        <v>45688</v>
      </c>
      <c r="D75" t="str">
        <f t="shared" si="2"/>
        <v>1048</v>
      </c>
      <c r="E75" s="18">
        <v>45688</v>
      </c>
      <c r="F75" t="s">
        <v>374</v>
      </c>
      <c r="G75" t="s">
        <v>247</v>
      </c>
      <c r="H75" t="s">
        <v>375</v>
      </c>
      <c r="L75" s="35">
        <v>160000</v>
      </c>
    </row>
    <row r="76" spans="1:12" x14ac:dyDescent="0.25">
      <c r="A76">
        <v>0</v>
      </c>
      <c r="B76" t="s">
        <v>250</v>
      </c>
      <c r="C76" s="18">
        <v>45688</v>
      </c>
      <c r="D76" t="str">
        <f t="shared" si="2"/>
        <v>1048</v>
      </c>
      <c r="E76" s="18">
        <v>45688</v>
      </c>
      <c r="F76" t="s">
        <v>376</v>
      </c>
      <c r="G76" t="s">
        <v>247</v>
      </c>
      <c r="H76" t="s">
        <v>377</v>
      </c>
      <c r="L76" s="35">
        <v>674800</v>
      </c>
    </row>
    <row r="77" spans="1:12" x14ac:dyDescent="0.25">
      <c r="A77">
        <v>0</v>
      </c>
      <c r="B77" t="s">
        <v>250</v>
      </c>
      <c r="C77" s="18">
        <v>45688</v>
      </c>
      <c r="D77" t="str">
        <f t="shared" si="2"/>
        <v>1048</v>
      </c>
      <c r="E77" s="18">
        <v>45688</v>
      </c>
      <c r="F77" t="s">
        <v>378</v>
      </c>
      <c r="G77" t="s">
        <v>247</v>
      </c>
      <c r="H77" t="s">
        <v>379</v>
      </c>
      <c r="L77" s="35">
        <v>1169460</v>
      </c>
    </row>
    <row r="78" spans="1:12" x14ac:dyDescent="0.25">
      <c r="A78">
        <v>0</v>
      </c>
      <c r="B78" t="s">
        <v>250</v>
      </c>
      <c r="C78" s="18">
        <v>45688</v>
      </c>
      <c r="D78" t="str">
        <f t="shared" si="2"/>
        <v>1048</v>
      </c>
      <c r="E78" s="18">
        <v>45688</v>
      </c>
      <c r="F78" t="s">
        <v>380</v>
      </c>
      <c r="G78" t="s">
        <v>247</v>
      </c>
      <c r="H78" t="s">
        <v>381</v>
      </c>
      <c r="L78" s="35">
        <v>40000</v>
      </c>
    </row>
    <row r="79" spans="1:12" x14ac:dyDescent="0.25">
      <c r="A79">
        <v>0</v>
      </c>
      <c r="B79" t="s">
        <v>250</v>
      </c>
      <c r="C79" s="18">
        <v>45688</v>
      </c>
      <c r="D79" t="str">
        <f t="shared" si="2"/>
        <v>1048</v>
      </c>
      <c r="E79" s="18">
        <v>45688</v>
      </c>
      <c r="F79" t="s">
        <v>382</v>
      </c>
      <c r="G79" t="s">
        <v>247</v>
      </c>
      <c r="H79" t="s">
        <v>383</v>
      </c>
      <c r="L79" s="35">
        <v>32000</v>
      </c>
    </row>
    <row r="80" spans="1:12" x14ac:dyDescent="0.25">
      <c r="A80">
        <v>0</v>
      </c>
      <c r="B80" t="s">
        <v>250</v>
      </c>
      <c r="C80" s="18">
        <v>45688</v>
      </c>
      <c r="D80" t="str">
        <f t="shared" si="2"/>
        <v>1048</v>
      </c>
      <c r="E80" s="18">
        <v>45688</v>
      </c>
      <c r="F80" t="str">
        <f>"2836"</f>
        <v>2836</v>
      </c>
      <c r="G80" t="s">
        <v>247</v>
      </c>
      <c r="H80" t="s">
        <v>384</v>
      </c>
      <c r="L80" s="35">
        <v>102320</v>
      </c>
    </row>
    <row r="81" spans="1:12" x14ac:dyDescent="0.25">
      <c r="A81">
        <v>0</v>
      </c>
      <c r="B81" t="s">
        <v>250</v>
      </c>
      <c r="C81" s="18">
        <v>45688</v>
      </c>
      <c r="D81" t="str">
        <f t="shared" si="2"/>
        <v>1048</v>
      </c>
      <c r="E81" s="18">
        <v>45688</v>
      </c>
      <c r="F81" t="s">
        <v>385</v>
      </c>
      <c r="G81" t="s">
        <v>247</v>
      </c>
      <c r="H81" t="s">
        <v>386</v>
      </c>
      <c r="L81" s="35">
        <v>37040</v>
      </c>
    </row>
    <row r="82" spans="1:12" x14ac:dyDescent="0.25">
      <c r="A82">
        <v>0</v>
      </c>
      <c r="B82" t="s">
        <v>250</v>
      </c>
      <c r="C82" s="18">
        <v>45688</v>
      </c>
      <c r="D82" t="str">
        <f t="shared" si="2"/>
        <v>1048</v>
      </c>
      <c r="E82" s="18">
        <v>45688</v>
      </c>
      <c r="F82" t="s">
        <v>387</v>
      </c>
      <c r="G82" t="s">
        <v>247</v>
      </c>
      <c r="H82" t="s">
        <v>388</v>
      </c>
      <c r="L82" s="35">
        <v>181520</v>
      </c>
    </row>
    <row r="83" spans="1:12" x14ac:dyDescent="0.25">
      <c r="A83">
        <v>0</v>
      </c>
      <c r="B83" t="s">
        <v>250</v>
      </c>
      <c r="C83" s="18">
        <v>45688</v>
      </c>
      <c r="D83" t="str">
        <f t="shared" si="2"/>
        <v>1048</v>
      </c>
      <c r="E83" s="18">
        <v>45688</v>
      </c>
      <c r="F83" t="str">
        <f>"001778"</f>
        <v>001778</v>
      </c>
      <c r="G83" t="s">
        <v>247</v>
      </c>
      <c r="H83" t="s">
        <v>389</v>
      </c>
      <c r="L83" s="35">
        <v>164720</v>
      </c>
    </row>
    <row r="84" spans="1:12" x14ac:dyDescent="0.25">
      <c r="A84">
        <v>0</v>
      </c>
      <c r="B84" t="s">
        <v>250</v>
      </c>
      <c r="C84" s="18">
        <v>45688</v>
      </c>
      <c r="D84" t="str">
        <f t="shared" si="2"/>
        <v>1048</v>
      </c>
      <c r="E84" s="18">
        <v>45688</v>
      </c>
      <c r="F84" t="s">
        <v>390</v>
      </c>
      <c r="G84" t="s">
        <v>247</v>
      </c>
      <c r="H84" t="s">
        <v>391</v>
      </c>
      <c r="L84" s="35">
        <v>406080</v>
      </c>
    </row>
    <row r="85" spans="1:12" x14ac:dyDescent="0.25">
      <c r="A85">
        <v>0</v>
      </c>
      <c r="B85" t="s">
        <v>250</v>
      </c>
      <c r="C85" s="18">
        <v>45688</v>
      </c>
      <c r="D85" t="str">
        <f t="shared" si="2"/>
        <v>1048</v>
      </c>
      <c r="E85" s="18">
        <v>45688</v>
      </c>
      <c r="F85" t="s">
        <v>392</v>
      </c>
      <c r="G85" t="s">
        <v>247</v>
      </c>
      <c r="H85" t="s">
        <v>393</v>
      </c>
      <c r="L85" s="35">
        <v>64800</v>
      </c>
    </row>
    <row r="86" spans="1:12" x14ac:dyDescent="0.25">
      <c r="A86">
        <v>0</v>
      </c>
      <c r="B86" t="s">
        <v>250</v>
      </c>
      <c r="C86" s="18">
        <v>45688</v>
      </c>
      <c r="D86" t="str">
        <f t="shared" si="2"/>
        <v>1048</v>
      </c>
      <c r="E86" s="18">
        <v>45688</v>
      </c>
      <c r="F86" t="s">
        <v>394</v>
      </c>
      <c r="G86" t="s">
        <v>247</v>
      </c>
      <c r="H86" t="s">
        <v>395</v>
      </c>
      <c r="L86" s="35">
        <v>202080</v>
      </c>
    </row>
    <row r="87" spans="1:12" x14ac:dyDescent="0.25">
      <c r="A87">
        <v>0</v>
      </c>
      <c r="B87" t="s">
        <v>250</v>
      </c>
      <c r="C87" s="18">
        <v>45688</v>
      </c>
      <c r="D87" t="str">
        <f t="shared" si="2"/>
        <v>1048</v>
      </c>
      <c r="E87" s="18">
        <v>45688</v>
      </c>
      <c r="F87" t="s">
        <v>396</v>
      </c>
      <c r="G87" t="s">
        <v>247</v>
      </c>
      <c r="H87" t="s">
        <v>397</v>
      </c>
      <c r="L87" s="35">
        <v>18560</v>
      </c>
    </row>
    <row r="88" spans="1:12" x14ac:dyDescent="0.25">
      <c r="A88">
        <v>0</v>
      </c>
      <c r="B88" t="s">
        <v>250</v>
      </c>
      <c r="C88" s="18">
        <v>45688</v>
      </c>
      <c r="D88" t="str">
        <f t="shared" si="2"/>
        <v>1048</v>
      </c>
      <c r="E88" s="18">
        <v>45688</v>
      </c>
      <c r="F88" t="s">
        <v>398</v>
      </c>
      <c r="G88" t="s">
        <v>247</v>
      </c>
      <c r="H88" t="s">
        <v>399</v>
      </c>
      <c r="L88" s="35">
        <v>16000</v>
      </c>
    </row>
    <row r="89" spans="1:12" x14ac:dyDescent="0.25">
      <c r="A89">
        <v>0</v>
      </c>
      <c r="B89" t="s">
        <v>250</v>
      </c>
      <c r="C89" s="18">
        <v>45688</v>
      </c>
      <c r="D89" t="str">
        <f t="shared" si="2"/>
        <v>1048</v>
      </c>
      <c r="E89" s="18">
        <v>45688</v>
      </c>
      <c r="F89" t="s">
        <v>400</v>
      </c>
      <c r="G89" t="s">
        <v>247</v>
      </c>
      <c r="H89" t="s">
        <v>401</v>
      </c>
      <c r="L89" s="35">
        <v>1000000</v>
      </c>
    </row>
    <row r="90" spans="1:12" x14ac:dyDescent="0.25">
      <c r="A90">
        <v>0</v>
      </c>
      <c r="B90" t="s">
        <v>250</v>
      </c>
      <c r="C90" s="18">
        <v>45688</v>
      </c>
      <c r="D90" t="str">
        <f t="shared" si="2"/>
        <v>1048</v>
      </c>
      <c r="E90" s="18">
        <v>45688</v>
      </c>
      <c r="F90" t="s">
        <v>402</v>
      </c>
      <c r="G90" t="s">
        <v>247</v>
      </c>
      <c r="H90" t="s">
        <v>403</v>
      </c>
      <c r="L90" s="35">
        <v>96000</v>
      </c>
    </row>
    <row r="91" spans="1:12" x14ac:dyDescent="0.25">
      <c r="A91">
        <v>0</v>
      </c>
      <c r="B91" t="s">
        <v>250</v>
      </c>
      <c r="C91" s="18">
        <v>45695</v>
      </c>
      <c r="D91" t="str">
        <f>"1651"</f>
        <v>1651</v>
      </c>
      <c r="E91" s="18">
        <v>45695</v>
      </c>
      <c r="F91" t="str">
        <f>"22073"</f>
        <v>22073</v>
      </c>
      <c r="G91" t="s">
        <v>247</v>
      </c>
      <c r="H91" t="s">
        <v>404</v>
      </c>
      <c r="L91" s="35">
        <v>162018</v>
      </c>
    </row>
    <row r="92" spans="1:12" x14ac:dyDescent="0.25">
      <c r="A92">
        <v>0</v>
      </c>
      <c r="B92" t="s">
        <v>250</v>
      </c>
      <c r="C92" s="18">
        <v>45689</v>
      </c>
      <c r="D92" t="str">
        <f>"1653"</f>
        <v>1653</v>
      </c>
      <c r="E92" s="18">
        <v>45689</v>
      </c>
      <c r="F92" t="str">
        <f>"22024"</f>
        <v>22024</v>
      </c>
      <c r="G92" t="s">
        <v>247</v>
      </c>
      <c r="H92" t="s">
        <v>405</v>
      </c>
      <c r="L92" s="35">
        <v>1825000</v>
      </c>
    </row>
    <row r="93" spans="1:12" x14ac:dyDescent="0.25">
      <c r="A93">
        <v>0</v>
      </c>
      <c r="B93" t="s">
        <v>250</v>
      </c>
      <c r="C93" s="18">
        <v>45709</v>
      </c>
      <c r="D93" t="str">
        <f>"2042"</f>
        <v>2042</v>
      </c>
      <c r="E93" s="18">
        <v>45709</v>
      </c>
      <c r="F93" t="str">
        <f>"22374"</f>
        <v>22374</v>
      </c>
      <c r="G93" t="s">
        <v>247</v>
      </c>
      <c r="H93" t="s">
        <v>406</v>
      </c>
      <c r="L93" s="35">
        <v>535240</v>
      </c>
    </row>
    <row r="94" spans="1:12" x14ac:dyDescent="0.25">
      <c r="A94">
        <v>0</v>
      </c>
      <c r="B94" t="s">
        <v>407</v>
      </c>
      <c r="C94" s="18">
        <v>45716</v>
      </c>
      <c r="D94" t="str">
        <f>"2077"</f>
        <v>2077</v>
      </c>
      <c r="E94" s="18">
        <v>45716</v>
      </c>
      <c r="F94" t="str">
        <f>"22374"</f>
        <v>22374</v>
      </c>
      <c r="G94" t="s">
        <v>247</v>
      </c>
      <c r="H94" t="s">
        <v>408</v>
      </c>
      <c r="L94" s="35">
        <v>2500</v>
      </c>
    </row>
    <row r="95" spans="1:12" x14ac:dyDescent="0.25">
      <c r="A95">
        <v>0</v>
      </c>
      <c r="B95" t="s">
        <v>337</v>
      </c>
      <c r="C95" s="18">
        <v>45716</v>
      </c>
      <c r="D95" t="str">
        <f>"2094"</f>
        <v>2094</v>
      </c>
      <c r="E95" s="18">
        <v>45716</v>
      </c>
      <c r="G95" t="s">
        <v>247</v>
      </c>
      <c r="H95" t="s">
        <v>409</v>
      </c>
      <c r="L95" s="35">
        <v>10800</v>
      </c>
    </row>
    <row r="96" spans="1:12" x14ac:dyDescent="0.25">
      <c r="A96">
        <v>0</v>
      </c>
      <c r="B96" t="s">
        <v>337</v>
      </c>
      <c r="C96" s="18">
        <v>45716</v>
      </c>
      <c r="D96" t="str">
        <f>"2095"</f>
        <v>2095</v>
      </c>
      <c r="E96" s="18">
        <v>45716</v>
      </c>
      <c r="G96" t="s">
        <v>247</v>
      </c>
      <c r="H96" t="s">
        <v>410</v>
      </c>
      <c r="L96" s="35">
        <v>78959.28</v>
      </c>
    </row>
    <row r="97" spans="1:12" x14ac:dyDescent="0.25">
      <c r="A97">
        <v>0</v>
      </c>
      <c r="B97" t="s">
        <v>337</v>
      </c>
      <c r="C97" s="18">
        <v>45698</v>
      </c>
      <c r="D97" t="str">
        <f>"2097"</f>
        <v>2097</v>
      </c>
      <c r="E97" s="18">
        <v>45698</v>
      </c>
      <c r="G97" t="s">
        <v>247</v>
      </c>
      <c r="H97" t="s">
        <v>411</v>
      </c>
      <c r="L97" s="35">
        <v>3000</v>
      </c>
    </row>
    <row r="98" spans="1:12" x14ac:dyDescent="0.25">
      <c r="A98">
        <v>0</v>
      </c>
      <c r="B98" t="s">
        <v>337</v>
      </c>
      <c r="C98" s="18">
        <v>45698</v>
      </c>
      <c r="D98" t="str">
        <f>"2099"</f>
        <v>2099</v>
      </c>
      <c r="E98" s="18">
        <v>45698</v>
      </c>
      <c r="G98" t="s">
        <v>247</v>
      </c>
      <c r="H98" t="s">
        <v>412</v>
      </c>
      <c r="L98" s="35">
        <v>9600</v>
      </c>
    </row>
    <row r="99" spans="1:12" x14ac:dyDescent="0.25">
      <c r="A99">
        <v>0</v>
      </c>
      <c r="B99" t="s">
        <v>337</v>
      </c>
      <c r="C99" s="18">
        <v>45706</v>
      </c>
      <c r="D99" t="str">
        <f>"2100"</f>
        <v>2100</v>
      </c>
      <c r="E99" s="18">
        <v>45706</v>
      </c>
      <c r="G99" t="s">
        <v>247</v>
      </c>
      <c r="H99" t="s">
        <v>413</v>
      </c>
      <c r="L99" s="35">
        <v>3000</v>
      </c>
    </row>
    <row r="100" spans="1:12" x14ac:dyDescent="0.25">
      <c r="A100">
        <v>0</v>
      </c>
      <c r="B100" t="s">
        <v>337</v>
      </c>
      <c r="C100" s="18">
        <v>45709</v>
      </c>
      <c r="D100" t="str">
        <f>"2101"</f>
        <v>2101</v>
      </c>
      <c r="E100" s="18">
        <v>45709</v>
      </c>
      <c r="G100" t="s">
        <v>247</v>
      </c>
      <c r="H100" t="s">
        <v>414</v>
      </c>
      <c r="L100" s="35">
        <v>9600</v>
      </c>
    </row>
    <row r="101" spans="1:12" x14ac:dyDescent="0.25">
      <c r="A101">
        <v>0</v>
      </c>
      <c r="B101" t="s">
        <v>337</v>
      </c>
      <c r="C101" s="18">
        <v>45709</v>
      </c>
      <c r="D101" t="str">
        <f>"2103"</f>
        <v>2103</v>
      </c>
      <c r="E101" s="18">
        <v>45709</v>
      </c>
      <c r="G101" t="s">
        <v>247</v>
      </c>
      <c r="H101" t="s">
        <v>414</v>
      </c>
      <c r="L101" s="35">
        <v>9600</v>
      </c>
    </row>
    <row r="102" spans="1:12" x14ac:dyDescent="0.25">
      <c r="A102">
        <v>0</v>
      </c>
      <c r="B102" t="s">
        <v>250</v>
      </c>
      <c r="C102" s="18">
        <v>45716</v>
      </c>
      <c r="D102" t="str">
        <f t="shared" ref="D102:D118" si="3">"2484"</f>
        <v>2484</v>
      </c>
      <c r="E102" s="18">
        <v>45716</v>
      </c>
      <c r="F102" t="s">
        <v>415</v>
      </c>
      <c r="G102" t="s">
        <v>247</v>
      </c>
      <c r="H102" t="s">
        <v>416</v>
      </c>
      <c r="L102" s="35">
        <v>56000</v>
      </c>
    </row>
    <row r="103" spans="1:12" x14ac:dyDescent="0.25">
      <c r="A103">
        <v>0</v>
      </c>
      <c r="B103" t="s">
        <v>250</v>
      </c>
      <c r="C103" s="18">
        <v>45716</v>
      </c>
      <c r="D103" t="str">
        <f t="shared" si="3"/>
        <v>2484</v>
      </c>
      <c r="E103" s="18">
        <v>45716</v>
      </c>
      <c r="F103" t="s">
        <v>417</v>
      </c>
      <c r="G103" t="s">
        <v>247</v>
      </c>
      <c r="H103" t="s">
        <v>418</v>
      </c>
      <c r="L103" s="35">
        <v>32000</v>
      </c>
    </row>
    <row r="104" spans="1:12" x14ac:dyDescent="0.25">
      <c r="A104">
        <v>0</v>
      </c>
      <c r="B104" t="s">
        <v>250</v>
      </c>
      <c r="C104" s="18">
        <v>45716</v>
      </c>
      <c r="D104" t="str">
        <f t="shared" si="3"/>
        <v>2484</v>
      </c>
      <c r="E104" s="18">
        <v>45716</v>
      </c>
      <c r="F104" t="s">
        <v>419</v>
      </c>
      <c r="G104" t="s">
        <v>247</v>
      </c>
      <c r="H104" t="s">
        <v>420</v>
      </c>
      <c r="L104" s="35">
        <v>970840</v>
      </c>
    </row>
    <row r="105" spans="1:12" x14ac:dyDescent="0.25">
      <c r="A105">
        <v>0</v>
      </c>
      <c r="B105" t="s">
        <v>250</v>
      </c>
      <c r="C105" s="18">
        <v>45716</v>
      </c>
      <c r="D105" t="str">
        <f t="shared" si="3"/>
        <v>2484</v>
      </c>
      <c r="E105" s="18">
        <v>45716</v>
      </c>
      <c r="F105" t="str">
        <f>"349027"</f>
        <v>349027</v>
      </c>
      <c r="G105" t="s">
        <v>247</v>
      </c>
      <c r="H105" t="s">
        <v>421</v>
      </c>
      <c r="L105" s="35">
        <v>1674240</v>
      </c>
    </row>
    <row r="106" spans="1:12" x14ac:dyDescent="0.25">
      <c r="A106">
        <v>0</v>
      </c>
      <c r="B106" t="s">
        <v>250</v>
      </c>
      <c r="C106" s="18">
        <v>45716</v>
      </c>
      <c r="D106" t="str">
        <f t="shared" si="3"/>
        <v>2484</v>
      </c>
      <c r="E106" s="18">
        <v>45716</v>
      </c>
      <c r="F106" t="str">
        <f>"382178"</f>
        <v>382178</v>
      </c>
      <c r="G106" t="s">
        <v>247</v>
      </c>
      <c r="H106" t="s">
        <v>422</v>
      </c>
      <c r="L106" s="35">
        <v>16000</v>
      </c>
    </row>
    <row r="107" spans="1:12" x14ac:dyDescent="0.25">
      <c r="A107">
        <v>0</v>
      </c>
      <c r="B107" t="s">
        <v>250</v>
      </c>
      <c r="C107" s="18">
        <v>45716</v>
      </c>
      <c r="D107" t="str">
        <f t="shared" si="3"/>
        <v>2484</v>
      </c>
      <c r="E107" s="18">
        <v>45716</v>
      </c>
      <c r="F107" t="s">
        <v>423</v>
      </c>
      <c r="G107" t="s">
        <v>247</v>
      </c>
      <c r="H107" t="s">
        <v>424</v>
      </c>
      <c r="L107" s="35">
        <v>606400</v>
      </c>
    </row>
    <row r="108" spans="1:12" x14ac:dyDescent="0.25">
      <c r="A108">
        <v>0</v>
      </c>
      <c r="B108" t="s">
        <v>250</v>
      </c>
      <c r="C108" s="18">
        <v>45716</v>
      </c>
      <c r="D108" t="str">
        <f t="shared" si="3"/>
        <v>2484</v>
      </c>
      <c r="E108" s="18">
        <v>45716</v>
      </c>
      <c r="F108" t="s">
        <v>425</v>
      </c>
      <c r="G108" t="s">
        <v>247</v>
      </c>
      <c r="H108" t="s">
        <v>426</v>
      </c>
      <c r="L108" s="35">
        <v>73440</v>
      </c>
    </row>
    <row r="109" spans="1:12" x14ac:dyDescent="0.25">
      <c r="A109">
        <v>0</v>
      </c>
      <c r="B109" t="s">
        <v>250</v>
      </c>
      <c r="C109" s="18">
        <v>45716</v>
      </c>
      <c r="D109" t="str">
        <f t="shared" si="3"/>
        <v>2484</v>
      </c>
      <c r="E109" s="18">
        <v>45716</v>
      </c>
      <c r="F109" t="s">
        <v>427</v>
      </c>
      <c r="G109" t="s">
        <v>247</v>
      </c>
      <c r="H109" t="s">
        <v>428</v>
      </c>
      <c r="L109" s="35">
        <v>72320</v>
      </c>
    </row>
    <row r="110" spans="1:12" x14ac:dyDescent="0.25">
      <c r="A110">
        <v>0</v>
      </c>
      <c r="B110" t="s">
        <v>250</v>
      </c>
      <c r="C110" s="18">
        <v>45716</v>
      </c>
      <c r="D110" t="str">
        <f t="shared" si="3"/>
        <v>2484</v>
      </c>
      <c r="E110" s="18">
        <v>45716</v>
      </c>
      <c r="F110" t="s">
        <v>429</v>
      </c>
      <c r="G110" t="s">
        <v>247</v>
      </c>
      <c r="H110" t="s">
        <v>430</v>
      </c>
      <c r="L110" s="35">
        <v>169360</v>
      </c>
    </row>
    <row r="111" spans="1:12" x14ac:dyDescent="0.25">
      <c r="A111">
        <v>0</v>
      </c>
      <c r="B111" t="s">
        <v>250</v>
      </c>
      <c r="C111" s="18">
        <v>45716</v>
      </c>
      <c r="D111" t="str">
        <f t="shared" si="3"/>
        <v>2484</v>
      </c>
      <c r="E111" s="18">
        <v>45716</v>
      </c>
      <c r="F111" t="s">
        <v>431</v>
      </c>
      <c r="G111" t="s">
        <v>247</v>
      </c>
      <c r="H111" t="s">
        <v>432</v>
      </c>
      <c r="L111" s="35">
        <v>563360</v>
      </c>
    </row>
    <row r="112" spans="1:12" x14ac:dyDescent="0.25">
      <c r="A112">
        <v>0</v>
      </c>
      <c r="B112" t="s">
        <v>250</v>
      </c>
      <c r="C112" s="18">
        <v>45716</v>
      </c>
      <c r="D112" t="str">
        <f t="shared" si="3"/>
        <v>2484</v>
      </c>
      <c r="E112" s="18">
        <v>45716</v>
      </c>
      <c r="F112" t="s">
        <v>433</v>
      </c>
      <c r="G112" t="s">
        <v>247</v>
      </c>
      <c r="H112" t="s">
        <v>434</v>
      </c>
      <c r="L112" s="35">
        <v>84640</v>
      </c>
    </row>
    <row r="113" spans="1:13" x14ac:dyDescent="0.25">
      <c r="A113">
        <v>0</v>
      </c>
      <c r="B113" t="s">
        <v>250</v>
      </c>
      <c r="C113" s="18">
        <v>45716</v>
      </c>
      <c r="D113" t="str">
        <f t="shared" si="3"/>
        <v>2484</v>
      </c>
      <c r="E113" s="18">
        <v>45716</v>
      </c>
      <c r="F113" t="s">
        <v>435</v>
      </c>
      <c r="G113" t="s">
        <v>247</v>
      </c>
      <c r="H113" t="s">
        <v>436</v>
      </c>
      <c r="L113" s="35">
        <v>236160</v>
      </c>
    </row>
    <row r="114" spans="1:13" x14ac:dyDescent="0.25">
      <c r="A114">
        <v>0</v>
      </c>
      <c r="B114" t="s">
        <v>250</v>
      </c>
      <c r="C114" s="18">
        <v>45716</v>
      </c>
      <c r="D114" t="str">
        <f t="shared" si="3"/>
        <v>2484</v>
      </c>
      <c r="E114" s="18">
        <v>45716</v>
      </c>
      <c r="F114" t="s">
        <v>437</v>
      </c>
      <c r="G114" t="s">
        <v>247</v>
      </c>
      <c r="H114" t="s">
        <v>438</v>
      </c>
      <c r="L114" s="35">
        <v>119360</v>
      </c>
    </row>
    <row r="115" spans="1:13" x14ac:dyDescent="0.25">
      <c r="A115">
        <v>0</v>
      </c>
      <c r="B115" t="s">
        <v>250</v>
      </c>
      <c r="C115" s="18">
        <v>45716</v>
      </c>
      <c r="D115" t="str">
        <f t="shared" si="3"/>
        <v>2484</v>
      </c>
      <c r="E115" s="18">
        <v>45716</v>
      </c>
      <c r="F115" t="s">
        <v>439</v>
      </c>
      <c r="G115" t="s">
        <v>247</v>
      </c>
      <c r="H115" t="s">
        <v>440</v>
      </c>
      <c r="L115" s="35">
        <v>35920</v>
      </c>
    </row>
    <row r="116" spans="1:13" x14ac:dyDescent="0.25">
      <c r="A116">
        <v>0</v>
      </c>
      <c r="B116" t="s">
        <v>250</v>
      </c>
      <c r="C116" s="18">
        <v>45716</v>
      </c>
      <c r="D116" t="str">
        <f t="shared" si="3"/>
        <v>2484</v>
      </c>
      <c r="E116" s="18">
        <v>45716</v>
      </c>
      <c r="F116" t="s">
        <v>441</v>
      </c>
      <c r="G116" t="s">
        <v>247</v>
      </c>
      <c r="H116" t="s">
        <v>442</v>
      </c>
      <c r="L116" s="35">
        <v>12800</v>
      </c>
    </row>
    <row r="117" spans="1:13" x14ac:dyDescent="0.25">
      <c r="A117">
        <v>0</v>
      </c>
      <c r="B117" t="s">
        <v>250</v>
      </c>
      <c r="C117" s="18">
        <v>45716</v>
      </c>
      <c r="D117" t="str">
        <f t="shared" si="3"/>
        <v>2484</v>
      </c>
      <c r="E117" s="18">
        <v>45716</v>
      </c>
      <c r="F117" t="s">
        <v>443</v>
      </c>
      <c r="G117" t="s">
        <v>247</v>
      </c>
      <c r="H117" t="s">
        <v>444</v>
      </c>
      <c r="L117" s="35">
        <v>32000</v>
      </c>
    </row>
    <row r="118" spans="1:13" x14ac:dyDescent="0.25">
      <c r="A118">
        <v>0</v>
      </c>
      <c r="B118" t="s">
        <v>250</v>
      </c>
      <c r="C118" s="18">
        <v>45716</v>
      </c>
      <c r="D118" t="str">
        <f t="shared" si="3"/>
        <v>2484</v>
      </c>
      <c r="E118" s="18">
        <v>45716</v>
      </c>
      <c r="F118" t="s">
        <v>445</v>
      </c>
      <c r="G118" t="s">
        <v>247</v>
      </c>
      <c r="H118" t="s">
        <v>446</v>
      </c>
      <c r="L118" s="35">
        <v>96000</v>
      </c>
    </row>
    <row r="119" spans="1:13" x14ac:dyDescent="0.25">
      <c r="A119">
        <v>0</v>
      </c>
      <c r="B119" t="s">
        <v>250</v>
      </c>
      <c r="C119" s="18">
        <v>45716</v>
      </c>
      <c r="D119" t="str">
        <f>"2569"</f>
        <v>2569</v>
      </c>
      <c r="E119" s="18">
        <v>45716</v>
      </c>
      <c r="F119" t="str">
        <f>"22622"</f>
        <v>22622</v>
      </c>
      <c r="G119" t="s">
        <v>247</v>
      </c>
      <c r="H119" t="s">
        <v>447</v>
      </c>
      <c r="L119" s="35">
        <v>29120</v>
      </c>
    </row>
    <row r="120" spans="1:13" x14ac:dyDescent="0.25">
      <c r="A120">
        <v>0</v>
      </c>
      <c r="B120" t="s">
        <v>250</v>
      </c>
      <c r="C120" s="18">
        <v>45721</v>
      </c>
      <c r="D120" t="str">
        <f>"2641"</f>
        <v>2641</v>
      </c>
      <c r="E120" s="18">
        <v>45721</v>
      </c>
      <c r="F120" t="s">
        <v>448</v>
      </c>
      <c r="G120" t="s">
        <v>247</v>
      </c>
      <c r="H120" t="s">
        <v>449</v>
      </c>
      <c r="M120" s="35">
        <v>5810704.1900000004</v>
      </c>
    </row>
    <row r="121" spans="1:13" x14ac:dyDescent="0.25">
      <c r="A121">
        <v>0</v>
      </c>
      <c r="B121" t="s">
        <v>250</v>
      </c>
      <c r="C121" s="18">
        <v>45723</v>
      </c>
      <c r="D121" t="str">
        <f>"2653"</f>
        <v>2653</v>
      </c>
      <c r="E121" s="18">
        <v>45723</v>
      </c>
      <c r="F121" t="str">
        <f>"22593"</f>
        <v>22593</v>
      </c>
      <c r="G121" t="s">
        <v>247</v>
      </c>
      <c r="H121" t="s">
        <v>450</v>
      </c>
      <c r="L121" s="35">
        <v>539040</v>
      </c>
    </row>
    <row r="122" spans="1:13" x14ac:dyDescent="0.25">
      <c r="A122">
        <v>0</v>
      </c>
      <c r="B122" t="s">
        <v>407</v>
      </c>
      <c r="C122" s="18">
        <v>45734</v>
      </c>
      <c r="D122" t="str">
        <f>"2763"</f>
        <v>2763</v>
      </c>
      <c r="E122" s="18">
        <v>45734</v>
      </c>
      <c r="F122" t="str">
        <f>"22593"</f>
        <v>22593</v>
      </c>
      <c r="G122" t="s">
        <v>247</v>
      </c>
      <c r="H122" t="s">
        <v>451</v>
      </c>
      <c r="L122" s="35">
        <v>2500</v>
      </c>
    </row>
    <row r="123" spans="1:13" x14ac:dyDescent="0.25">
      <c r="A123">
        <v>0</v>
      </c>
      <c r="B123" t="s">
        <v>337</v>
      </c>
      <c r="C123" s="18">
        <v>45744</v>
      </c>
      <c r="D123" t="str">
        <f>"3149"</f>
        <v>3149</v>
      </c>
      <c r="E123" s="18">
        <v>45744</v>
      </c>
      <c r="G123" t="s">
        <v>247</v>
      </c>
      <c r="H123" t="s">
        <v>452</v>
      </c>
      <c r="L123" s="35">
        <v>11674.94</v>
      </c>
    </row>
    <row r="124" spans="1:13" x14ac:dyDescent="0.25">
      <c r="A124">
        <v>0</v>
      </c>
      <c r="B124" t="s">
        <v>337</v>
      </c>
      <c r="C124" s="18">
        <v>45744</v>
      </c>
      <c r="D124" t="str">
        <f>"3150"</f>
        <v>3150</v>
      </c>
      <c r="E124" s="18">
        <v>45744</v>
      </c>
      <c r="G124" t="s">
        <v>247</v>
      </c>
      <c r="H124" t="s">
        <v>453</v>
      </c>
      <c r="L124" s="35">
        <v>10800</v>
      </c>
    </row>
    <row r="125" spans="1:13" x14ac:dyDescent="0.25">
      <c r="A125">
        <v>0</v>
      </c>
      <c r="B125" t="s">
        <v>337</v>
      </c>
      <c r="C125" s="18">
        <v>45743</v>
      </c>
      <c r="D125" t="str">
        <f>"3151"</f>
        <v>3151</v>
      </c>
      <c r="E125" s="18">
        <v>45743</v>
      </c>
      <c r="G125" t="s">
        <v>247</v>
      </c>
      <c r="H125" t="s">
        <v>454</v>
      </c>
      <c r="L125" s="35">
        <v>3000</v>
      </c>
    </row>
    <row r="126" spans="1:13" x14ac:dyDescent="0.25">
      <c r="A126">
        <v>0</v>
      </c>
      <c r="B126" t="s">
        <v>337</v>
      </c>
      <c r="C126" s="18">
        <v>45743</v>
      </c>
      <c r="D126" t="str">
        <f>"3152"</f>
        <v>3152</v>
      </c>
      <c r="E126" s="18">
        <v>45743</v>
      </c>
      <c r="G126" t="s">
        <v>247</v>
      </c>
      <c r="H126" t="s">
        <v>455</v>
      </c>
      <c r="L126" s="35">
        <v>9600</v>
      </c>
    </row>
    <row r="127" spans="1:13" x14ac:dyDescent="0.25">
      <c r="A127">
        <v>0</v>
      </c>
      <c r="B127" t="s">
        <v>250</v>
      </c>
      <c r="C127" s="18">
        <v>45747</v>
      </c>
      <c r="D127" t="str">
        <f>"3481"</f>
        <v>3481</v>
      </c>
      <c r="E127" s="18">
        <v>45747</v>
      </c>
      <c r="F127" t="s">
        <v>456</v>
      </c>
      <c r="G127" t="s">
        <v>247</v>
      </c>
      <c r="H127" t="s">
        <v>457</v>
      </c>
      <c r="L127" s="35">
        <v>573040</v>
      </c>
    </row>
    <row r="128" spans="1:13" x14ac:dyDescent="0.25">
      <c r="A128">
        <v>0</v>
      </c>
      <c r="B128" t="s">
        <v>250</v>
      </c>
      <c r="C128" s="18">
        <v>45777</v>
      </c>
      <c r="D128" t="str">
        <f>"3482"</f>
        <v>3482</v>
      </c>
      <c r="E128" s="18">
        <v>45777</v>
      </c>
      <c r="F128" t="s">
        <v>458</v>
      </c>
      <c r="G128" t="s">
        <v>247</v>
      </c>
      <c r="H128" t="s">
        <v>459</v>
      </c>
      <c r="L128" s="35">
        <v>867680</v>
      </c>
    </row>
    <row r="129" spans="1:13" x14ac:dyDescent="0.25">
      <c r="A129">
        <v>0</v>
      </c>
      <c r="B129" t="s">
        <v>250</v>
      </c>
      <c r="C129" s="18">
        <v>45777</v>
      </c>
      <c r="D129" t="str">
        <f>"3482"</f>
        <v>3482</v>
      </c>
      <c r="E129" s="18">
        <v>45777</v>
      </c>
      <c r="F129" t="s">
        <v>460</v>
      </c>
      <c r="G129" t="s">
        <v>247</v>
      </c>
      <c r="H129" t="s">
        <v>461</v>
      </c>
      <c r="L129" s="35">
        <v>26160</v>
      </c>
    </row>
    <row r="130" spans="1:13" x14ac:dyDescent="0.25">
      <c r="A130">
        <v>0</v>
      </c>
      <c r="B130" t="s">
        <v>250</v>
      </c>
      <c r="C130" s="18">
        <v>45777</v>
      </c>
      <c r="D130" t="str">
        <f>"3482"</f>
        <v>3482</v>
      </c>
      <c r="E130" s="18">
        <v>45777</v>
      </c>
      <c r="F130" t="str">
        <f>"250143"</f>
        <v>250143</v>
      </c>
      <c r="G130" t="s">
        <v>247</v>
      </c>
      <c r="H130" t="s">
        <v>462</v>
      </c>
      <c r="L130" s="35">
        <v>8960</v>
      </c>
    </row>
    <row r="131" spans="1:13" x14ac:dyDescent="0.25">
      <c r="A131">
        <v>0</v>
      </c>
      <c r="B131" t="s">
        <v>248</v>
      </c>
      <c r="C131" s="18">
        <v>45765</v>
      </c>
      <c r="D131" t="str">
        <f>"4078"</f>
        <v>4078</v>
      </c>
      <c r="E131" s="18">
        <v>45765</v>
      </c>
      <c r="F131" t="s">
        <v>463</v>
      </c>
      <c r="G131" t="s">
        <v>247</v>
      </c>
      <c r="H131" t="s">
        <v>464</v>
      </c>
      <c r="M131" s="35">
        <v>0.25</v>
      </c>
    </row>
    <row r="132" spans="1:13" x14ac:dyDescent="0.25">
      <c r="A132">
        <v>0</v>
      </c>
      <c r="B132" t="s">
        <v>250</v>
      </c>
      <c r="C132" s="18">
        <v>45777</v>
      </c>
      <c r="D132" t="str">
        <f>"4088"</f>
        <v>4088</v>
      </c>
      <c r="E132" s="18">
        <v>45777</v>
      </c>
      <c r="F132" t="s">
        <v>465</v>
      </c>
      <c r="G132" t="s">
        <v>247</v>
      </c>
      <c r="H132" t="s">
        <v>466</v>
      </c>
      <c r="L132" s="35">
        <v>22000</v>
      </c>
    </row>
    <row r="133" spans="1:13" x14ac:dyDescent="0.25">
      <c r="A133">
        <v>0</v>
      </c>
      <c r="B133" t="s">
        <v>250</v>
      </c>
      <c r="C133" s="18">
        <v>45777</v>
      </c>
      <c r="D133" t="str">
        <f>"4088"</f>
        <v>4088</v>
      </c>
      <c r="E133" s="18">
        <v>45777</v>
      </c>
      <c r="F133" t="s">
        <v>467</v>
      </c>
      <c r="G133" t="s">
        <v>247</v>
      </c>
      <c r="H133" t="s">
        <v>468</v>
      </c>
      <c r="L133" s="35">
        <v>1259124</v>
      </c>
    </row>
    <row r="134" spans="1:13" x14ac:dyDescent="0.25">
      <c r="A134">
        <v>0</v>
      </c>
      <c r="B134" t="s">
        <v>337</v>
      </c>
      <c r="C134" s="18">
        <v>45772</v>
      </c>
      <c r="D134" t="str">
        <f>"4290"</f>
        <v>4290</v>
      </c>
      <c r="E134" s="18">
        <v>45772</v>
      </c>
      <c r="G134" t="s">
        <v>247</v>
      </c>
      <c r="H134" t="s">
        <v>469</v>
      </c>
      <c r="L134" s="35">
        <v>19608907.52</v>
      </c>
    </row>
    <row r="135" spans="1:13" x14ac:dyDescent="0.25">
      <c r="A135">
        <v>0</v>
      </c>
      <c r="B135" t="s">
        <v>337</v>
      </c>
      <c r="C135" s="18">
        <v>45777</v>
      </c>
      <c r="D135" t="str">
        <f>"4810"</f>
        <v>4810</v>
      </c>
      <c r="E135" s="18">
        <v>45777</v>
      </c>
      <c r="G135" t="s">
        <v>247</v>
      </c>
      <c r="H135" t="s">
        <v>470</v>
      </c>
      <c r="L135" s="35">
        <v>11394.32</v>
      </c>
    </row>
    <row r="136" spans="1:13" x14ac:dyDescent="0.25">
      <c r="A136">
        <v>0</v>
      </c>
      <c r="B136" t="s">
        <v>337</v>
      </c>
      <c r="C136" s="18">
        <v>45777</v>
      </c>
      <c r="D136" t="str">
        <f>"4811"</f>
        <v>4811</v>
      </c>
      <c r="E136" s="18">
        <v>45777</v>
      </c>
      <c r="G136" t="s">
        <v>247</v>
      </c>
      <c r="H136" t="s">
        <v>471</v>
      </c>
      <c r="L136" s="35">
        <v>10800</v>
      </c>
    </row>
    <row r="137" spans="1:13" x14ac:dyDescent="0.25">
      <c r="A137">
        <v>0</v>
      </c>
      <c r="B137" t="s">
        <v>337</v>
      </c>
      <c r="C137" s="18">
        <v>45771</v>
      </c>
      <c r="D137" t="str">
        <f>"4812"</f>
        <v>4812</v>
      </c>
      <c r="E137" s="18">
        <v>45771</v>
      </c>
      <c r="G137" t="s">
        <v>247</v>
      </c>
      <c r="H137" t="s">
        <v>472</v>
      </c>
      <c r="L137" s="35">
        <v>3000</v>
      </c>
    </row>
    <row r="138" spans="1:13" x14ac:dyDescent="0.25">
      <c r="A138">
        <v>0</v>
      </c>
      <c r="B138" t="s">
        <v>250</v>
      </c>
      <c r="C138" s="18">
        <v>45779</v>
      </c>
      <c r="D138" t="str">
        <f>"4848"</f>
        <v>4848</v>
      </c>
      <c r="E138" s="18">
        <v>45779</v>
      </c>
      <c r="F138" t="str">
        <f>"23381"</f>
        <v>23381</v>
      </c>
      <c r="G138" t="s">
        <v>247</v>
      </c>
      <c r="H138" t="s">
        <v>473</v>
      </c>
      <c r="L138" s="35">
        <v>288000</v>
      </c>
    </row>
    <row r="139" spans="1:13" x14ac:dyDescent="0.25">
      <c r="A139">
        <v>0</v>
      </c>
      <c r="B139" t="s">
        <v>250</v>
      </c>
      <c r="C139" s="18">
        <v>45779</v>
      </c>
      <c r="D139" t="str">
        <f>"4848"</f>
        <v>4848</v>
      </c>
      <c r="E139" s="18">
        <v>45779</v>
      </c>
      <c r="F139" t="str">
        <f>"23382"</f>
        <v>23382</v>
      </c>
      <c r="G139" t="s">
        <v>247</v>
      </c>
      <c r="H139" t="s">
        <v>474</v>
      </c>
      <c r="L139" s="35">
        <v>68000</v>
      </c>
    </row>
    <row r="140" spans="1:13" x14ac:dyDescent="0.25">
      <c r="A140">
        <v>0</v>
      </c>
      <c r="B140" t="s">
        <v>250</v>
      </c>
      <c r="C140" s="18">
        <v>45777</v>
      </c>
      <c r="D140" t="str">
        <f t="shared" ref="D140:D152" si="4">"4858"</f>
        <v>4858</v>
      </c>
      <c r="E140" s="18">
        <v>45777</v>
      </c>
      <c r="F140" t="s">
        <v>475</v>
      </c>
      <c r="G140" t="s">
        <v>247</v>
      </c>
      <c r="H140" t="s">
        <v>476</v>
      </c>
      <c r="L140" s="35">
        <v>89280</v>
      </c>
    </row>
    <row r="141" spans="1:13" x14ac:dyDescent="0.25">
      <c r="A141">
        <v>0</v>
      </c>
      <c r="B141" t="s">
        <v>250</v>
      </c>
      <c r="C141" s="18">
        <v>45777</v>
      </c>
      <c r="D141" t="str">
        <f t="shared" si="4"/>
        <v>4858</v>
      </c>
      <c r="E141" s="18">
        <v>45777</v>
      </c>
      <c r="F141" t="s">
        <v>477</v>
      </c>
      <c r="G141" t="s">
        <v>247</v>
      </c>
      <c r="H141" t="s">
        <v>478</v>
      </c>
      <c r="L141" s="35">
        <v>25920</v>
      </c>
    </row>
    <row r="142" spans="1:13" x14ac:dyDescent="0.25">
      <c r="A142">
        <v>0</v>
      </c>
      <c r="B142" t="s">
        <v>250</v>
      </c>
      <c r="C142" s="18">
        <v>45777</v>
      </c>
      <c r="D142" t="str">
        <f t="shared" si="4"/>
        <v>4858</v>
      </c>
      <c r="E142" s="18">
        <v>45777</v>
      </c>
      <c r="F142" t="str">
        <f>"56079"</f>
        <v>56079</v>
      </c>
      <c r="G142" t="s">
        <v>247</v>
      </c>
      <c r="H142" t="s">
        <v>479</v>
      </c>
      <c r="L142" s="35">
        <v>40000</v>
      </c>
    </row>
    <row r="143" spans="1:13" x14ac:dyDescent="0.25">
      <c r="A143">
        <v>0</v>
      </c>
      <c r="B143" t="s">
        <v>250</v>
      </c>
      <c r="C143" s="18">
        <v>45777</v>
      </c>
      <c r="D143" t="str">
        <f t="shared" si="4"/>
        <v>4858</v>
      </c>
      <c r="E143" s="18">
        <v>45777</v>
      </c>
      <c r="F143" t="str">
        <f>"000554"</f>
        <v>000554</v>
      </c>
      <c r="G143" t="s">
        <v>247</v>
      </c>
      <c r="H143" t="s">
        <v>480</v>
      </c>
      <c r="L143" s="35">
        <v>220000</v>
      </c>
    </row>
    <row r="144" spans="1:13" x14ac:dyDescent="0.25">
      <c r="A144">
        <v>0</v>
      </c>
      <c r="B144" t="s">
        <v>250</v>
      </c>
      <c r="C144" s="18">
        <v>45777</v>
      </c>
      <c r="D144" t="str">
        <f t="shared" si="4"/>
        <v>4858</v>
      </c>
      <c r="E144" s="18">
        <v>45777</v>
      </c>
      <c r="F144" t="s">
        <v>481</v>
      </c>
      <c r="G144" t="s">
        <v>247</v>
      </c>
      <c r="H144" t="s">
        <v>482</v>
      </c>
      <c r="L144" s="35">
        <v>73920</v>
      </c>
    </row>
    <row r="145" spans="1:13" x14ac:dyDescent="0.25">
      <c r="A145">
        <v>0</v>
      </c>
      <c r="B145" t="s">
        <v>250</v>
      </c>
      <c r="C145" s="18">
        <v>45777</v>
      </c>
      <c r="D145" t="str">
        <f t="shared" si="4"/>
        <v>4858</v>
      </c>
      <c r="E145" s="18">
        <v>45777</v>
      </c>
      <c r="F145" t="s">
        <v>483</v>
      </c>
      <c r="G145" t="s">
        <v>247</v>
      </c>
      <c r="H145" t="s">
        <v>484</v>
      </c>
      <c r="L145" s="35">
        <v>209520</v>
      </c>
    </row>
    <row r="146" spans="1:13" x14ac:dyDescent="0.25">
      <c r="A146">
        <v>0</v>
      </c>
      <c r="B146" t="s">
        <v>250</v>
      </c>
      <c r="C146" s="18">
        <v>45777</v>
      </c>
      <c r="D146" t="str">
        <f t="shared" si="4"/>
        <v>4858</v>
      </c>
      <c r="E146" s="18">
        <v>45777</v>
      </c>
      <c r="F146" t="s">
        <v>485</v>
      </c>
      <c r="G146" t="s">
        <v>247</v>
      </c>
      <c r="H146" t="s">
        <v>486</v>
      </c>
      <c r="L146" s="35">
        <v>69440</v>
      </c>
    </row>
    <row r="147" spans="1:13" x14ac:dyDescent="0.25">
      <c r="A147">
        <v>0</v>
      </c>
      <c r="B147" t="s">
        <v>250</v>
      </c>
      <c r="C147" s="18">
        <v>45777</v>
      </c>
      <c r="D147" t="str">
        <f t="shared" si="4"/>
        <v>4858</v>
      </c>
      <c r="E147" s="18">
        <v>45777</v>
      </c>
      <c r="F147" t="s">
        <v>487</v>
      </c>
      <c r="G147" t="s">
        <v>247</v>
      </c>
      <c r="H147" t="s">
        <v>488</v>
      </c>
      <c r="L147" s="35">
        <v>296000</v>
      </c>
    </row>
    <row r="148" spans="1:13" x14ac:dyDescent="0.25">
      <c r="A148">
        <v>0</v>
      </c>
      <c r="B148" t="s">
        <v>250</v>
      </c>
      <c r="C148" s="18">
        <v>45777</v>
      </c>
      <c r="D148" t="str">
        <f t="shared" si="4"/>
        <v>4858</v>
      </c>
      <c r="E148" s="18">
        <v>45777</v>
      </c>
      <c r="F148" t="str">
        <f>"423"</f>
        <v>423</v>
      </c>
      <c r="G148" t="s">
        <v>247</v>
      </c>
      <c r="H148" t="s">
        <v>489</v>
      </c>
      <c r="L148" s="35">
        <v>50000</v>
      </c>
    </row>
    <row r="149" spans="1:13" x14ac:dyDescent="0.25">
      <c r="A149">
        <v>0</v>
      </c>
      <c r="B149" t="s">
        <v>250</v>
      </c>
      <c r="C149" s="18">
        <v>45777</v>
      </c>
      <c r="D149" t="str">
        <f t="shared" si="4"/>
        <v>4858</v>
      </c>
      <c r="E149" s="18">
        <v>45777</v>
      </c>
      <c r="F149" t="str">
        <f>"250295"</f>
        <v>250295</v>
      </c>
      <c r="G149" t="s">
        <v>247</v>
      </c>
      <c r="H149" t="s">
        <v>490</v>
      </c>
      <c r="L149" s="35">
        <v>82960</v>
      </c>
    </row>
    <row r="150" spans="1:13" x14ac:dyDescent="0.25">
      <c r="A150">
        <v>0</v>
      </c>
      <c r="B150" t="s">
        <v>250</v>
      </c>
      <c r="C150" s="18">
        <v>45777</v>
      </c>
      <c r="D150" t="str">
        <f t="shared" si="4"/>
        <v>4858</v>
      </c>
      <c r="E150" s="18">
        <v>45777</v>
      </c>
      <c r="F150" t="s">
        <v>368</v>
      </c>
      <c r="G150" t="s">
        <v>247</v>
      </c>
      <c r="H150" t="s">
        <v>491</v>
      </c>
      <c r="L150" s="35">
        <v>96000</v>
      </c>
    </row>
    <row r="151" spans="1:13" x14ac:dyDescent="0.25">
      <c r="A151">
        <v>0</v>
      </c>
      <c r="B151" t="s">
        <v>250</v>
      </c>
      <c r="C151" s="18">
        <v>45777</v>
      </c>
      <c r="D151" t="str">
        <f t="shared" si="4"/>
        <v>4858</v>
      </c>
      <c r="E151" s="18">
        <v>45777</v>
      </c>
      <c r="F151" t="s">
        <v>492</v>
      </c>
      <c r="G151" t="s">
        <v>247</v>
      </c>
      <c r="H151" t="s">
        <v>493</v>
      </c>
      <c r="L151" s="35">
        <v>12000</v>
      </c>
    </row>
    <row r="152" spans="1:13" x14ac:dyDescent="0.25">
      <c r="A152">
        <v>0</v>
      </c>
      <c r="B152" t="s">
        <v>250</v>
      </c>
      <c r="C152" s="18">
        <v>45777</v>
      </c>
      <c r="D152" t="str">
        <f t="shared" si="4"/>
        <v>4858</v>
      </c>
      <c r="E152" s="18">
        <v>45777</v>
      </c>
      <c r="F152" t="s">
        <v>494</v>
      </c>
      <c r="G152" t="s">
        <v>247</v>
      </c>
      <c r="H152" t="s">
        <v>495</v>
      </c>
      <c r="L152" s="35">
        <v>64000</v>
      </c>
    </row>
    <row r="153" spans="1:13" x14ac:dyDescent="0.25">
      <c r="A153">
        <v>0</v>
      </c>
      <c r="B153" t="s">
        <v>407</v>
      </c>
      <c r="C153" s="18">
        <v>45783</v>
      </c>
      <c r="D153" t="str">
        <f>"5153"</f>
        <v>5153</v>
      </c>
      <c r="E153" s="18">
        <v>45783</v>
      </c>
      <c r="F153" t="str">
        <f>"23382"</f>
        <v>23382</v>
      </c>
      <c r="G153" t="s">
        <v>247</v>
      </c>
      <c r="H153" t="s">
        <v>496</v>
      </c>
      <c r="L153" s="35">
        <v>800</v>
      </c>
    </row>
    <row r="154" spans="1:13" x14ac:dyDescent="0.25">
      <c r="A154">
        <v>0</v>
      </c>
      <c r="B154" t="s">
        <v>250</v>
      </c>
      <c r="C154" s="18">
        <v>45747</v>
      </c>
      <c r="D154" t="str">
        <f>"5179"</f>
        <v>5179</v>
      </c>
      <c r="E154" s="18">
        <v>45747</v>
      </c>
      <c r="F154" t="s">
        <v>456</v>
      </c>
      <c r="G154" t="s">
        <v>247</v>
      </c>
      <c r="H154" t="s">
        <v>497</v>
      </c>
      <c r="M154" s="35">
        <v>573040</v>
      </c>
    </row>
    <row r="155" spans="1:13" x14ac:dyDescent="0.25">
      <c r="A155">
        <v>0</v>
      </c>
      <c r="B155" t="s">
        <v>250</v>
      </c>
      <c r="C155" s="18">
        <v>45777</v>
      </c>
      <c r="D155" t="str">
        <f>"5180"</f>
        <v>5180</v>
      </c>
      <c r="E155" s="18">
        <v>45777</v>
      </c>
      <c r="F155" t="s">
        <v>456</v>
      </c>
      <c r="G155" t="s">
        <v>247</v>
      </c>
      <c r="H155" t="s">
        <v>498</v>
      </c>
      <c r="L155" s="35">
        <v>573040</v>
      </c>
    </row>
    <row r="156" spans="1:13" x14ac:dyDescent="0.25">
      <c r="A156">
        <v>0</v>
      </c>
      <c r="B156" t="s">
        <v>250</v>
      </c>
      <c r="C156" s="18">
        <v>45777</v>
      </c>
      <c r="D156" t="str">
        <f t="shared" ref="D156:D171" si="5">"5225"</f>
        <v>5225</v>
      </c>
      <c r="E156" s="18">
        <v>45777</v>
      </c>
      <c r="F156" t="s">
        <v>499</v>
      </c>
      <c r="G156" t="s">
        <v>247</v>
      </c>
      <c r="H156" t="s">
        <v>500</v>
      </c>
      <c r="L156" s="35">
        <v>301960</v>
      </c>
    </row>
    <row r="157" spans="1:13" x14ac:dyDescent="0.25">
      <c r="A157">
        <v>0</v>
      </c>
      <c r="B157" t="s">
        <v>250</v>
      </c>
      <c r="C157" s="18">
        <v>45777</v>
      </c>
      <c r="D157" t="str">
        <f t="shared" si="5"/>
        <v>5225</v>
      </c>
      <c r="E157" s="18">
        <v>45777</v>
      </c>
      <c r="F157" t="s">
        <v>501</v>
      </c>
      <c r="G157" t="s">
        <v>247</v>
      </c>
      <c r="H157" t="s">
        <v>502</v>
      </c>
      <c r="L157" s="35">
        <v>32000</v>
      </c>
    </row>
    <row r="158" spans="1:13" x14ac:dyDescent="0.25">
      <c r="A158">
        <v>0</v>
      </c>
      <c r="B158" t="s">
        <v>250</v>
      </c>
      <c r="C158" s="18">
        <v>45777</v>
      </c>
      <c r="D158" t="str">
        <f t="shared" si="5"/>
        <v>5225</v>
      </c>
      <c r="E158" s="18">
        <v>45777</v>
      </c>
      <c r="F158" t="s">
        <v>503</v>
      </c>
      <c r="G158" t="s">
        <v>247</v>
      </c>
      <c r="H158" t="s">
        <v>504</v>
      </c>
      <c r="L158" s="35">
        <v>368600</v>
      </c>
    </row>
    <row r="159" spans="1:13" x14ac:dyDescent="0.25">
      <c r="A159">
        <v>0</v>
      </c>
      <c r="B159" t="s">
        <v>250</v>
      </c>
      <c r="C159" s="18">
        <v>45777</v>
      </c>
      <c r="D159" t="str">
        <f t="shared" si="5"/>
        <v>5225</v>
      </c>
      <c r="E159" s="18">
        <v>45777</v>
      </c>
      <c r="F159" t="s">
        <v>505</v>
      </c>
      <c r="G159" t="s">
        <v>247</v>
      </c>
      <c r="H159" t="s">
        <v>506</v>
      </c>
      <c r="L159" s="35">
        <v>686400</v>
      </c>
    </row>
    <row r="160" spans="1:13" x14ac:dyDescent="0.25">
      <c r="A160">
        <v>0</v>
      </c>
      <c r="B160" t="s">
        <v>250</v>
      </c>
      <c r="C160" s="18">
        <v>45777</v>
      </c>
      <c r="D160" t="str">
        <f t="shared" si="5"/>
        <v>5225</v>
      </c>
      <c r="E160" s="18">
        <v>45777</v>
      </c>
      <c r="F160" t="s">
        <v>507</v>
      </c>
      <c r="G160" t="s">
        <v>247</v>
      </c>
      <c r="H160" t="s">
        <v>508</v>
      </c>
      <c r="L160" s="35">
        <v>1315600</v>
      </c>
    </row>
    <row r="161" spans="1:12" x14ac:dyDescent="0.25">
      <c r="A161">
        <v>0</v>
      </c>
      <c r="B161" t="s">
        <v>250</v>
      </c>
      <c r="C161" s="18">
        <v>45777</v>
      </c>
      <c r="D161" t="str">
        <f t="shared" si="5"/>
        <v>5225</v>
      </c>
      <c r="E161" s="18">
        <v>45777</v>
      </c>
      <c r="F161" t="s">
        <v>509</v>
      </c>
      <c r="G161" t="s">
        <v>247</v>
      </c>
      <c r="H161" t="s">
        <v>510</v>
      </c>
      <c r="L161" s="35">
        <v>296000</v>
      </c>
    </row>
    <row r="162" spans="1:12" x14ac:dyDescent="0.25">
      <c r="A162">
        <v>0</v>
      </c>
      <c r="B162" t="s">
        <v>250</v>
      </c>
      <c r="C162" s="18">
        <v>45777</v>
      </c>
      <c r="D162" t="str">
        <f t="shared" si="5"/>
        <v>5225</v>
      </c>
      <c r="E162" s="18">
        <v>45777</v>
      </c>
      <c r="F162" t="s">
        <v>511</v>
      </c>
      <c r="G162" t="s">
        <v>247</v>
      </c>
      <c r="H162" t="s">
        <v>512</v>
      </c>
      <c r="L162" s="35">
        <v>16000</v>
      </c>
    </row>
    <row r="163" spans="1:12" x14ac:dyDescent="0.25">
      <c r="A163">
        <v>0</v>
      </c>
      <c r="B163" t="s">
        <v>250</v>
      </c>
      <c r="C163" s="18">
        <v>45777</v>
      </c>
      <c r="D163" t="str">
        <f t="shared" si="5"/>
        <v>5225</v>
      </c>
      <c r="E163" s="18">
        <v>45777</v>
      </c>
      <c r="F163" t="s">
        <v>513</v>
      </c>
      <c r="G163" t="s">
        <v>247</v>
      </c>
      <c r="H163" t="s">
        <v>514</v>
      </c>
      <c r="L163" s="35">
        <v>1238400</v>
      </c>
    </row>
    <row r="164" spans="1:12" x14ac:dyDescent="0.25">
      <c r="A164">
        <v>0</v>
      </c>
      <c r="B164" t="s">
        <v>250</v>
      </c>
      <c r="C164" s="18">
        <v>45777</v>
      </c>
      <c r="D164" t="str">
        <f t="shared" si="5"/>
        <v>5225</v>
      </c>
      <c r="E164" s="18">
        <v>45777</v>
      </c>
      <c r="F164" t="s">
        <v>515</v>
      </c>
      <c r="G164" t="s">
        <v>247</v>
      </c>
      <c r="H164" t="s">
        <v>516</v>
      </c>
      <c r="L164" s="35">
        <v>40240</v>
      </c>
    </row>
    <row r="165" spans="1:12" x14ac:dyDescent="0.25">
      <c r="A165">
        <v>0</v>
      </c>
      <c r="B165" t="s">
        <v>250</v>
      </c>
      <c r="C165" s="18">
        <v>45777</v>
      </c>
      <c r="D165" t="str">
        <f t="shared" si="5"/>
        <v>5225</v>
      </c>
      <c r="E165" s="18">
        <v>45777</v>
      </c>
      <c r="F165" t="s">
        <v>517</v>
      </c>
      <c r="G165" t="s">
        <v>247</v>
      </c>
      <c r="H165" t="s">
        <v>518</v>
      </c>
      <c r="L165" s="35">
        <v>35840</v>
      </c>
    </row>
    <row r="166" spans="1:12" x14ac:dyDescent="0.25">
      <c r="A166">
        <v>0</v>
      </c>
      <c r="B166" t="s">
        <v>250</v>
      </c>
      <c r="C166" s="18">
        <v>45777</v>
      </c>
      <c r="D166" t="str">
        <f t="shared" si="5"/>
        <v>5225</v>
      </c>
      <c r="E166" s="18">
        <v>45777</v>
      </c>
      <c r="F166" t="s">
        <v>519</v>
      </c>
      <c r="G166" t="s">
        <v>247</v>
      </c>
      <c r="H166" t="s">
        <v>520</v>
      </c>
      <c r="L166" s="35">
        <v>899600</v>
      </c>
    </row>
    <row r="167" spans="1:12" x14ac:dyDescent="0.25">
      <c r="A167">
        <v>0</v>
      </c>
      <c r="B167" t="s">
        <v>250</v>
      </c>
      <c r="C167" s="18">
        <v>45777</v>
      </c>
      <c r="D167" t="str">
        <f t="shared" si="5"/>
        <v>5225</v>
      </c>
      <c r="E167" s="18">
        <v>45777</v>
      </c>
      <c r="F167" t="s">
        <v>521</v>
      </c>
      <c r="G167" t="s">
        <v>247</v>
      </c>
      <c r="H167" t="s">
        <v>522</v>
      </c>
      <c r="L167" s="35">
        <v>279840</v>
      </c>
    </row>
    <row r="168" spans="1:12" x14ac:dyDescent="0.25">
      <c r="A168">
        <v>0</v>
      </c>
      <c r="B168" t="s">
        <v>250</v>
      </c>
      <c r="C168" s="18">
        <v>45777</v>
      </c>
      <c r="D168" t="str">
        <f t="shared" si="5"/>
        <v>5225</v>
      </c>
      <c r="E168" s="18">
        <v>45777</v>
      </c>
      <c r="F168" t="s">
        <v>523</v>
      </c>
      <c r="G168" t="s">
        <v>247</v>
      </c>
      <c r="H168" t="s">
        <v>524</v>
      </c>
      <c r="L168" s="35">
        <v>30800</v>
      </c>
    </row>
    <row r="169" spans="1:12" x14ac:dyDescent="0.25">
      <c r="A169">
        <v>0</v>
      </c>
      <c r="B169" t="s">
        <v>250</v>
      </c>
      <c r="C169" s="18">
        <v>45777</v>
      </c>
      <c r="D169" t="str">
        <f t="shared" si="5"/>
        <v>5225</v>
      </c>
      <c r="E169" s="18">
        <v>45777</v>
      </c>
      <c r="F169" t="s">
        <v>525</v>
      </c>
      <c r="G169" t="s">
        <v>247</v>
      </c>
      <c r="H169" t="s">
        <v>526</v>
      </c>
      <c r="L169" s="35">
        <v>30240</v>
      </c>
    </row>
    <row r="170" spans="1:12" x14ac:dyDescent="0.25">
      <c r="A170">
        <v>0</v>
      </c>
      <c r="B170" t="s">
        <v>250</v>
      </c>
      <c r="C170" s="18">
        <v>45777</v>
      </c>
      <c r="D170" t="str">
        <f t="shared" si="5"/>
        <v>5225</v>
      </c>
      <c r="E170" s="18">
        <v>45777</v>
      </c>
      <c r="F170" t="s">
        <v>527</v>
      </c>
      <c r="G170" t="s">
        <v>247</v>
      </c>
      <c r="H170" t="s">
        <v>528</v>
      </c>
      <c r="L170" s="35">
        <v>395680</v>
      </c>
    </row>
    <row r="171" spans="1:12" x14ac:dyDescent="0.25">
      <c r="A171">
        <v>0</v>
      </c>
      <c r="B171" t="s">
        <v>250</v>
      </c>
      <c r="C171" s="18">
        <v>45777</v>
      </c>
      <c r="D171" t="str">
        <f t="shared" si="5"/>
        <v>5225</v>
      </c>
      <c r="E171" s="18">
        <v>45777</v>
      </c>
      <c r="F171" t="s">
        <v>529</v>
      </c>
      <c r="G171" t="s">
        <v>247</v>
      </c>
      <c r="H171" t="s">
        <v>530</v>
      </c>
      <c r="L171" s="35">
        <v>32000</v>
      </c>
    </row>
    <row r="172" spans="1:12" x14ac:dyDescent="0.25">
      <c r="A172">
        <v>0</v>
      </c>
      <c r="B172" t="s">
        <v>250</v>
      </c>
      <c r="C172" s="18">
        <v>45808</v>
      </c>
      <c r="D172" t="str">
        <f>"5226"</f>
        <v>5226</v>
      </c>
      <c r="E172" s="18">
        <v>45808</v>
      </c>
      <c r="F172" t="str">
        <f>"002055"</f>
        <v>002055</v>
      </c>
      <c r="G172" t="s">
        <v>247</v>
      </c>
      <c r="H172" t="s">
        <v>531</v>
      </c>
      <c r="L172" s="35">
        <v>93200</v>
      </c>
    </row>
    <row r="173" spans="1:12" x14ac:dyDescent="0.25">
      <c r="A173">
        <v>0</v>
      </c>
      <c r="B173" t="s">
        <v>250</v>
      </c>
      <c r="C173" s="18">
        <v>45777</v>
      </c>
      <c r="D173" t="str">
        <f>"5227"</f>
        <v>5227</v>
      </c>
      <c r="E173" s="18">
        <v>45777</v>
      </c>
      <c r="F173" t="s">
        <v>532</v>
      </c>
      <c r="G173" t="s">
        <v>247</v>
      </c>
      <c r="H173" t="s">
        <v>533</v>
      </c>
      <c r="L173" s="35">
        <v>737640</v>
      </c>
    </row>
    <row r="174" spans="1:12" x14ac:dyDescent="0.25">
      <c r="A174">
        <v>0</v>
      </c>
      <c r="B174" t="s">
        <v>250</v>
      </c>
      <c r="C174" s="18">
        <v>45779</v>
      </c>
      <c r="D174" t="str">
        <f>"5546"</f>
        <v>5546</v>
      </c>
      <c r="E174" s="18">
        <v>45779</v>
      </c>
      <c r="F174" t="str">
        <f>"23526"</f>
        <v>23526</v>
      </c>
      <c r="G174" t="s">
        <v>247</v>
      </c>
      <c r="H174" t="s">
        <v>534</v>
      </c>
      <c r="L174" s="35">
        <v>292800</v>
      </c>
    </row>
    <row r="175" spans="1:12" x14ac:dyDescent="0.25">
      <c r="A175">
        <v>0</v>
      </c>
      <c r="B175" t="s">
        <v>250</v>
      </c>
      <c r="C175" s="18">
        <v>45779</v>
      </c>
      <c r="D175" t="str">
        <f>"5546"</f>
        <v>5546</v>
      </c>
      <c r="E175" s="18">
        <v>45779</v>
      </c>
      <c r="F175" t="str">
        <f>"23527"</f>
        <v>23527</v>
      </c>
      <c r="G175" t="s">
        <v>247</v>
      </c>
      <c r="H175" t="s">
        <v>535</v>
      </c>
      <c r="L175" s="35">
        <v>370000</v>
      </c>
    </row>
    <row r="176" spans="1:12" x14ac:dyDescent="0.25">
      <c r="A176">
        <v>0</v>
      </c>
      <c r="B176" t="s">
        <v>250</v>
      </c>
      <c r="C176" s="18">
        <v>45779</v>
      </c>
      <c r="D176" t="str">
        <f>"5546"</f>
        <v>5546</v>
      </c>
      <c r="E176" s="18">
        <v>45779</v>
      </c>
      <c r="F176" t="str">
        <f>"23528"</f>
        <v>23528</v>
      </c>
      <c r="G176" t="s">
        <v>247</v>
      </c>
      <c r="H176" t="s">
        <v>536</v>
      </c>
      <c r="L176" s="35">
        <v>125920</v>
      </c>
    </row>
    <row r="177" spans="1:12" x14ac:dyDescent="0.25">
      <c r="A177">
        <v>0</v>
      </c>
      <c r="B177" t="s">
        <v>250</v>
      </c>
      <c r="C177" s="18">
        <v>45779</v>
      </c>
      <c r="D177" t="str">
        <f>"5649"</f>
        <v>5649</v>
      </c>
      <c r="E177" s="18">
        <v>45779</v>
      </c>
      <c r="F177" t="str">
        <f>"23441"</f>
        <v>23441</v>
      </c>
      <c r="G177" t="s">
        <v>247</v>
      </c>
      <c r="H177" t="s">
        <v>537</v>
      </c>
      <c r="L177" s="35">
        <v>539920</v>
      </c>
    </row>
    <row r="178" spans="1:12" x14ac:dyDescent="0.25">
      <c r="A178">
        <v>0</v>
      </c>
      <c r="B178" t="s">
        <v>407</v>
      </c>
      <c r="C178" s="18">
        <v>45793</v>
      </c>
      <c r="D178" t="str">
        <f>"5739"</f>
        <v>5739</v>
      </c>
      <c r="E178" s="18">
        <v>45793</v>
      </c>
      <c r="F178" t="str">
        <f>"23527"</f>
        <v>23527</v>
      </c>
      <c r="G178" t="s">
        <v>247</v>
      </c>
      <c r="H178" t="s">
        <v>538</v>
      </c>
      <c r="L178" s="35">
        <v>1500</v>
      </c>
    </row>
    <row r="179" spans="1:12" x14ac:dyDescent="0.25">
      <c r="A179">
        <v>0</v>
      </c>
      <c r="B179" t="s">
        <v>250</v>
      </c>
      <c r="C179" s="18">
        <v>45786</v>
      </c>
      <c r="D179" t="str">
        <f>"5811"</f>
        <v>5811</v>
      </c>
      <c r="E179" s="18">
        <v>45786</v>
      </c>
      <c r="F179" t="str">
        <f>"23675"</f>
        <v>23675</v>
      </c>
      <c r="G179" t="s">
        <v>247</v>
      </c>
      <c r="H179" t="s">
        <v>539</v>
      </c>
      <c r="L179" s="35">
        <v>89920</v>
      </c>
    </row>
    <row r="180" spans="1:12" x14ac:dyDescent="0.25">
      <c r="A180">
        <v>0</v>
      </c>
      <c r="B180" t="s">
        <v>250</v>
      </c>
      <c r="C180" s="18">
        <v>45808</v>
      </c>
      <c r="D180" t="str">
        <f>"5818"</f>
        <v>5818</v>
      </c>
      <c r="E180" s="18">
        <v>45808</v>
      </c>
      <c r="F180" t="str">
        <f>"348664"</f>
        <v>348664</v>
      </c>
      <c r="G180" t="s">
        <v>247</v>
      </c>
      <c r="H180" t="s">
        <v>540</v>
      </c>
      <c r="L180" s="35">
        <v>162816</v>
      </c>
    </row>
    <row r="181" spans="1:12" x14ac:dyDescent="0.25">
      <c r="A181">
        <v>0</v>
      </c>
      <c r="B181" t="s">
        <v>407</v>
      </c>
      <c r="C181" s="18">
        <v>45799</v>
      </c>
      <c r="D181" t="str">
        <f>"5884"</f>
        <v>5884</v>
      </c>
      <c r="E181" s="18">
        <v>45799</v>
      </c>
      <c r="F181" t="str">
        <f>"23675"</f>
        <v>23675</v>
      </c>
      <c r="G181" t="s">
        <v>247</v>
      </c>
      <c r="H181" t="s">
        <v>541</v>
      </c>
      <c r="L181" s="35">
        <v>800</v>
      </c>
    </row>
    <row r="182" spans="1:12" x14ac:dyDescent="0.25">
      <c r="A182">
        <v>0</v>
      </c>
      <c r="B182" t="s">
        <v>250</v>
      </c>
      <c r="C182" s="18">
        <v>45808</v>
      </c>
      <c r="D182" t="str">
        <f>"5895"</f>
        <v>5895</v>
      </c>
      <c r="E182" s="18">
        <v>45808</v>
      </c>
      <c r="F182" t="str">
        <f>"56092"</f>
        <v>56092</v>
      </c>
      <c r="G182" t="s">
        <v>247</v>
      </c>
      <c r="H182" t="s">
        <v>542</v>
      </c>
      <c r="L182" s="35">
        <v>40000</v>
      </c>
    </row>
    <row r="183" spans="1:12" x14ac:dyDescent="0.25">
      <c r="A183">
        <v>0</v>
      </c>
      <c r="B183" t="s">
        <v>250</v>
      </c>
      <c r="C183" s="18">
        <v>45779</v>
      </c>
      <c r="D183" t="str">
        <f>"5920"</f>
        <v>5920</v>
      </c>
      <c r="E183" s="18">
        <v>45779</v>
      </c>
      <c r="F183" t="str">
        <f>"23729"</f>
        <v>23729</v>
      </c>
      <c r="G183" t="s">
        <v>247</v>
      </c>
      <c r="H183" t="s">
        <v>543</v>
      </c>
      <c r="L183" s="35">
        <v>236000</v>
      </c>
    </row>
    <row r="184" spans="1:12" x14ac:dyDescent="0.25">
      <c r="A184">
        <v>0</v>
      </c>
      <c r="B184" t="s">
        <v>407</v>
      </c>
      <c r="C184" s="18">
        <v>45803</v>
      </c>
      <c r="D184" t="str">
        <f>"5987"</f>
        <v>5987</v>
      </c>
      <c r="E184" s="18">
        <v>45803</v>
      </c>
      <c r="F184" t="str">
        <f>"23729"</f>
        <v>23729</v>
      </c>
      <c r="G184" t="s">
        <v>247</v>
      </c>
      <c r="H184" t="s">
        <v>544</v>
      </c>
      <c r="L184" s="35">
        <v>1500</v>
      </c>
    </row>
    <row r="185" spans="1:12" x14ac:dyDescent="0.25">
      <c r="A185">
        <v>0</v>
      </c>
      <c r="B185" t="s">
        <v>250</v>
      </c>
      <c r="C185" s="18">
        <v>45808</v>
      </c>
      <c r="D185" t="str">
        <f>"6066"</f>
        <v>6066</v>
      </c>
      <c r="E185" s="18">
        <v>45808</v>
      </c>
      <c r="F185" t="s">
        <v>545</v>
      </c>
      <c r="G185" t="s">
        <v>247</v>
      </c>
      <c r="H185" t="s">
        <v>546</v>
      </c>
      <c r="L185" s="35">
        <v>749600</v>
      </c>
    </row>
    <row r="186" spans="1:12" x14ac:dyDescent="0.25">
      <c r="A186">
        <v>0</v>
      </c>
      <c r="B186" t="s">
        <v>337</v>
      </c>
      <c r="C186" s="18">
        <v>45807</v>
      </c>
      <c r="D186" t="str">
        <f>"6118"</f>
        <v>6118</v>
      </c>
      <c r="E186" s="18">
        <v>45807</v>
      </c>
      <c r="G186" t="s">
        <v>247</v>
      </c>
      <c r="H186" t="s">
        <v>547</v>
      </c>
      <c r="L186" s="35">
        <v>72367.990000000005</v>
      </c>
    </row>
    <row r="187" spans="1:12" x14ac:dyDescent="0.25">
      <c r="A187">
        <v>0</v>
      </c>
      <c r="B187" t="s">
        <v>337</v>
      </c>
      <c r="C187" s="18">
        <v>45807</v>
      </c>
      <c r="D187" t="str">
        <f>"6119"</f>
        <v>6119</v>
      </c>
      <c r="E187" s="18">
        <v>45807</v>
      </c>
      <c r="G187" t="s">
        <v>247</v>
      </c>
      <c r="H187" t="s">
        <v>548</v>
      </c>
      <c r="L187" s="35">
        <v>10800</v>
      </c>
    </row>
    <row r="188" spans="1:12" x14ac:dyDescent="0.25">
      <c r="A188">
        <v>0</v>
      </c>
      <c r="B188" t="s">
        <v>337</v>
      </c>
      <c r="C188" s="18">
        <v>45786</v>
      </c>
      <c r="D188" t="str">
        <f>"6120"</f>
        <v>6120</v>
      </c>
      <c r="E188" s="18">
        <v>45786</v>
      </c>
      <c r="G188" t="s">
        <v>247</v>
      </c>
      <c r="H188" t="s">
        <v>549</v>
      </c>
      <c r="L188" s="35">
        <v>3000</v>
      </c>
    </row>
    <row r="189" spans="1:12" x14ac:dyDescent="0.25">
      <c r="A189">
        <v>0</v>
      </c>
      <c r="B189" t="s">
        <v>337</v>
      </c>
      <c r="C189" s="18">
        <v>45786</v>
      </c>
      <c r="D189" t="str">
        <f>"6121"</f>
        <v>6121</v>
      </c>
      <c r="E189" s="18">
        <v>45786</v>
      </c>
      <c r="G189" t="s">
        <v>247</v>
      </c>
      <c r="H189" t="s">
        <v>550</v>
      </c>
      <c r="L189" s="35">
        <v>3000</v>
      </c>
    </row>
    <row r="190" spans="1:12" x14ac:dyDescent="0.25">
      <c r="A190">
        <v>0</v>
      </c>
      <c r="B190" t="s">
        <v>337</v>
      </c>
      <c r="C190" s="18">
        <v>45786</v>
      </c>
      <c r="D190" t="str">
        <f>"6122"</f>
        <v>6122</v>
      </c>
      <c r="E190" s="18">
        <v>45786</v>
      </c>
      <c r="G190" t="s">
        <v>247</v>
      </c>
      <c r="H190" t="s">
        <v>551</v>
      </c>
      <c r="L190" s="35">
        <v>3000</v>
      </c>
    </row>
    <row r="191" spans="1:12" x14ac:dyDescent="0.25">
      <c r="A191">
        <v>0</v>
      </c>
      <c r="B191" t="s">
        <v>337</v>
      </c>
      <c r="C191" s="18">
        <v>45804</v>
      </c>
      <c r="D191" t="str">
        <f>"6123"</f>
        <v>6123</v>
      </c>
      <c r="E191" s="18">
        <v>45804</v>
      </c>
      <c r="G191" t="s">
        <v>247</v>
      </c>
      <c r="H191" t="s">
        <v>552</v>
      </c>
      <c r="L191" s="35">
        <v>9600</v>
      </c>
    </row>
    <row r="192" spans="1:12" x14ac:dyDescent="0.25">
      <c r="A192">
        <v>0</v>
      </c>
      <c r="B192" t="s">
        <v>337</v>
      </c>
      <c r="C192" s="18">
        <v>45804</v>
      </c>
      <c r="D192" t="str">
        <f>"6165"</f>
        <v>6165</v>
      </c>
      <c r="E192" s="18">
        <v>45804</v>
      </c>
      <c r="G192" t="s">
        <v>247</v>
      </c>
      <c r="H192" t="s">
        <v>553</v>
      </c>
      <c r="L192" s="35">
        <v>9600</v>
      </c>
    </row>
    <row r="193" spans="1:12" x14ac:dyDescent="0.25">
      <c r="A193">
        <v>0</v>
      </c>
      <c r="B193" t="s">
        <v>337</v>
      </c>
      <c r="C193" s="18">
        <v>45804</v>
      </c>
      <c r="D193" t="str">
        <f>"6166"</f>
        <v>6166</v>
      </c>
      <c r="E193" s="18">
        <v>45804</v>
      </c>
      <c r="G193" t="s">
        <v>247</v>
      </c>
      <c r="H193" t="s">
        <v>554</v>
      </c>
      <c r="L193" s="35">
        <v>9600</v>
      </c>
    </row>
    <row r="194" spans="1:12" x14ac:dyDescent="0.25">
      <c r="A194">
        <v>0</v>
      </c>
      <c r="B194" t="s">
        <v>407</v>
      </c>
      <c r="C194" s="18">
        <v>45812</v>
      </c>
      <c r="D194" t="str">
        <f>"6213"</f>
        <v>6213</v>
      </c>
      <c r="E194" s="18">
        <v>45812</v>
      </c>
      <c r="F194" t="str">
        <f>"23526"</f>
        <v>23526</v>
      </c>
      <c r="G194" t="s">
        <v>247</v>
      </c>
      <c r="H194" t="s">
        <v>555</v>
      </c>
      <c r="L194" s="35">
        <v>1500</v>
      </c>
    </row>
    <row r="195" spans="1:12" x14ac:dyDescent="0.25">
      <c r="A195">
        <v>0</v>
      </c>
      <c r="B195" t="s">
        <v>250</v>
      </c>
      <c r="C195" s="18">
        <v>45808</v>
      </c>
      <c r="D195" t="str">
        <f>"6349"</f>
        <v>6349</v>
      </c>
      <c r="E195" s="18">
        <v>45808</v>
      </c>
      <c r="F195" t="s">
        <v>556</v>
      </c>
      <c r="G195" t="s">
        <v>247</v>
      </c>
      <c r="H195" t="s">
        <v>557</v>
      </c>
      <c r="L195" s="35">
        <v>967040</v>
      </c>
    </row>
    <row r="196" spans="1:12" x14ac:dyDescent="0.25">
      <c r="A196">
        <v>0</v>
      </c>
      <c r="B196" t="s">
        <v>248</v>
      </c>
      <c r="C196" s="18">
        <v>45824</v>
      </c>
      <c r="D196" t="str">
        <f>"6527"</f>
        <v>6527</v>
      </c>
      <c r="E196" s="18">
        <v>45824</v>
      </c>
      <c r="G196" t="s">
        <v>247</v>
      </c>
      <c r="H196" t="s">
        <v>558</v>
      </c>
      <c r="L196" s="35">
        <v>6417095.5800000001</v>
      </c>
    </row>
    <row r="197" spans="1:12" x14ac:dyDescent="0.25">
      <c r="A197">
        <v>0</v>
      </c>
      <c r="B197" t="s">
        <v>250</v>
      </c>
      <c r="C197" s="18">
        <v>45808</v>
      </c>
      <c r="D197" t="str">
        <f t="shared" ref="D197:D216" si="6">"6552"</f>
        <v>6552</v>
      </c>
      <c r="E197" s="18">
        <v>45808</v>
      </c>
      <c r="F197" t="s">
        <v>559</v>
      </c>
      <c r="G197" t="s">
        <v>247</v>
      </c>
      <c r="H197" t="s">
        <v>560</v>
      </c>
      <c r="L197" s="35">
        <v>28000</v>
      </c>
    </row>
    <row r="198" spans="1:12" x14ac:dyDescent="0.25">
      <c r="A198">
        <v>0</v>
      </c>
      <c r="B198" t="s">
        <v>250</v>
      </c>
      <c r="C198" s="18">
        <v>45808</v>
      </c>
      <c r="D198" t="str">
        <f t="shared" si="6"/>
        <v>6552</v>
      </c>
      <c r="E198" s="18">
        <v>45808</v>
      </c>
      <c r="F198" t="str">
        <f>"202503087"</f>
        <v>202503087</v>
      </c>
      <c r="G198" t="s">
        <v>247</v>
      </c>
      <c r="H198" t="s">
        <v>561</v>
      </c>
      <c r="L198" s="35">
        <v>12000</v>
      </c>
    </row>
    <row r="199" spans="1:12" x14ac:dyDescent="0.25">
      <c r="A199">
        <v>0</v>
      </c>
      <c r="B199" t="s">
        <v>250</v>
      </c>
      <c r="C199" s="18">
        <v>45808</v>
      </c>
      <c r="D199" t="str">
        <f t="shared" si="6"/>
        <v>6552</v>
      </c>
      <c r="E199" s="18">
        <v>45808</v>
      </c>
      <c r="F199" t="s">
        <v>562</v>
      </c>
      <c r="G199" t="s">
        <v>247</v>
      </c>
      <c r="H199" t="s">
        <v>563</v>
      </c>
      <c r="L199" s="35">
        <v>76800</v>
      </c>
    </row>
    <row r="200" spans="1:12" x14ac:dyDescent="0.25">
      <c r="A200">
        <v>0</v>
      </c>
      <c r="B200" t="s">
        <v>250</v>
      </c>
      <c r="C200" s="18">
        <v>45808</v>
      </c>
      <c r="D200" t="str">
        <f t="shared" si="6"/>
        <v>6552</v>
      </c>
      <c r="E200" s="18">
        <v>45808</v>
      </c>
      <c r="F200" s="32">
        <v>45717</v>
      </c>
      <c r="G200" t="s">
        <v>247</v>
      </c>
      <c r="H200" t="s">
        <v>564</v>
      </c>
      <c r="L200" s="35">
        <v>24000</v>
      </c>
    </row>
    <row r="201" spans="1:12" x14ac:dyDescent="0.25">
      <c r="A201">
        <v>0</v>
      </c>
      <c r="B201" t="s">
        <v>250</v>
      </c>
      <c r="C201" s="18">
        <v>45808</v>
      </c>
      <c r="D201" t="str">
        <f t="shared" si="6"/>
        <v>6552</v>
      </c>
      <c r="E201" s="18">
        <v>45808</v>
      </c>
      <c r="F201" t="s">
        <v>565</v>
      </c>
      <c r="G201" t="s">
        <v>247</v>
      </c>
      <c r="H201" t="s">
        <v>566</v>
      </c>
      <c r="L201" s="35">
        <v>806000</v>
      </c>
    </row>
    <row r="202" spans="1:12" x14ac:dyDescent="0.25">
      <c r="A202">
        <v>0</v>
      </c>
      <c r="B202" t="s">
        <v>250</v>
      </c>
      <c r="C202" s="18">
        <v>45808</v>
      </c>
      <c r="D202" t="str">
        <f t="shared" si="6"/>
        <v>6552</v>
      </c>
      <c r="E202" s="18">
        <v>45808</v>
      </c>
      <c r="F202" t="s">
        <v>567</v>
      </c>
      <c r="G202" t="s">
        <v>247</v>
      </c>
      <c r="H202" t="s">
        <v>568</v>
      </c>
      <c r="L202" s="35">
        <v>30000</v>
      </c>
    </row>
    <row r="203" spans="1:12" x14ac:dyDescent="0.25">
      <c r="A203">
        <v>0</v>
      </c>
      <c r="B203" t="s">
        <v>250</v>
      </c>
      <c r="C203" s="18">
        <v>45808</v>
      </c>
      <c r="D203" t="str">
        <f t="shared" si="6"/>
        <v>6552</v>
      </c>
      <c r="E203" s="18">
        <v>45808</v>
      </c>
      <c r="F203" t="s">
        <v>569</v>
      </c>
      <c r="G203" t="s">
        <v>247</v>
      </c>
      <c r="H203" t="s">
        <v>570</v>
      </c>
      <c r="L203" s="35">
        <v>520000</v>
      </c>
    </row>
    <row r="204" spans="1:12" x14ac:dyDescent="0.25">
      <c r="A204">
        <v>0</v>
      </c>
      <c r="B204" t="s">
        <v>250</v>
      </c>
      <c r="C204" s="18">
        <v>45808</v>
      </c>
      <c r="D204" t="str">
        <f t="shared" si="6"/>
        <v>6552</v>
      </c>
      <c r="E204" s="18">
        <v>45808</v>
      </c>
      <c r="F204" t="str">
        <f>"351842"</f>
        <v>351842</v>
      </c>
      <c r="G204" t="s">
        <v>247</v>
      </c>
      <c r="H204" t="s">
        <v>571</v>
      </c>
      <c r="L204" s="35">
        <v>240000</v>
      </c>
    </row>
    <row r="205" spans="1:12" x14ac:dyDescent="0.25">
      <c r="A205">
        <v>0</v>
      </c>
      <c r="B205" t="s">
        <v>250</v>
      </c>
      <c r="C205" s="18">
        <v>45808</v>
      </c>
      <c r="D205" t="str">
        <f t="shared" si="6"/>
        <v>6552</v>
      </c>
      <c r="E205" s="18">
        <v>45808</v>
      </c>
      <c r="F205" t="s">
        <v>572</v>
      </c>
      <c r="G205" t="s">
        <v>247</v>
      </c>
      <c r="H205" t="s">
        <v>573</v>
      </c>
      <c r="L205" s="35">
        <v>18320</v>
      </c>
    </row>
    <row r="206" spans="1:12" x14ac:dyDescent="0.25">
      <c r="A206">
        <v>0</v>
      </c>
      <c r="B206" t="s">
        <v>250</v>
      </c>
      <c r="C206" s="18">
        <v>45808</v>
      </c>
      <c r="D206" t="str">
        <f t="shared" si="6"/>
        <v>6552</v>
      </c>
      <c r="E206" s="18">
        <v>45808</v>
      </c>
      <c r="F206" t="s">
        <v>574</v>
      </c>
      <c r="G206" t="s">
        <v>247</v>
      </c>
      <c r="H206" t="s">
        <v>575</v>
      </c>
      <c r="L206" s="35">
        <v>178400</v>
      </c>
    </row>
    <row r="207" spans="1:12" x14ac:dyDescent="0.25">
      <c r="A207">
        <v>0</v>
      </c>
      <c r="B207" t="s">
        <v>250</v>
      </c>
      <c r="C207" s="18">
        <v>45808</v>
      </c>
      <c r="D207" t="str">
        <f t="shared" si="6"/>
        <v>6552</v>
      </c>
      <c r="E207" s="18">
        <v>45808</v>
      </c>
      <c r="F207" t="s">
        <v>576</v>
      </c>
      <c r="G207" t="s">
        <v>247</v>
      </c>
      <c r="H207" t="s">
        <v>577</v>
      </c>
      <c r="L207" s="35">
        <v>893200</v>
      </c>
    </row>
    <row r="208" spans="1:12" x14ac:dyDescent="0.25">
      <c r="A208">
        <v>0</v>
      </c>
      <c r="B208" t="s">
        <v>250</v>
      </c>
      <c r="C208" s="18">
        <v>45808</v>
      </c>
      <c r="D208" t="str">
        <f t="shared" si="6"/>
        <v>6552</v>
      </c>
      <c r="E208" s="18">
        <v>45808</v>
      </c>
      <c r="F208" t="str">
        <f>"167150"</f>
        <v>167150</v>
      </c>
      <c r="G208" t="s">
        <v>247</v>
      </c>
      <c r="H208" t="s">
        <v>578</v>
      </c>
      <c r="L208" s="35">
        <v>20400</v>
      </c>
    </row>
    <row r="209" spans="1:12" x14ac:dyDescent="0.25">
      <c r="A209">
        <v>0</v>
      </c>
      <c r="B209" t="s">
        <v>250</v>
      </c>
      <c r="C209" s="18">
        <v>45808</v>
      </c>
      <c r="D209" t="str">
        <f t="shared" si="6"/>
        <v>6552</v>
      </c>
      <c r="E209" s="18">
        <v>45808</v>
      </c>
      <c r="F209" t="s">
        <v>579</v>
      </c>
      <c r="G209" t="s">
        <v>247</v>
      </c>
      <c r="H209" t="s">
        <v>580</v>
      </c>
      <c r="L209" s="35">
        <v>96560</v>
      </c>
    </row>
    <row r="210" spans="1:12" x14ac:dyDescent="0.25">
      <c r="A210">
        <v>0</v>
      </c>
      <c r="B210" t="s">
        <v>250</v>
      </c>
      <c r="C210" s="18">
        <v>45808</v>
      </c>
      <c r="D210" t="str">
        <f t="shared" si="6"/>
        <v>6552</v>
      </c>
      <c r="E210" s="18">
        <v>45808</v>
      </c>
      <c r="F210" t="s">
        <v>581</v>
      </c>
      <c r="G210" t="s">
        <v>247</v>
      </c>
      <c r="H210" t="s">
        <v>582</v>
      </c>
      <c r="L210" s="35">
        <v>95040</v>
      </c>
    </row>
    <row r="211" spans="1:12" x14ac:dyDescent="0.25">
      <c r="A211">
        <v>0</v>
      </c>
      <c r="B211" t="s">
        <v>250</v>
      </c>
      <c r="C211" s="18">
        <v>45808</v>
      </c>
      <c r="D211" t="str">
        <f t="shared" si="6"/>
        <v>6552</v>
      </c>
      <c r="E211" s="18">
        <v>45808</v>
      </c>
      <c r="F211" t="s">
        <v>583</v>
      </c>
      <c r="G211" t="s">
        <v>247</v>
      </c>
      <c r="H211" t="s">
        <v>584</v>
      </c>
      <c r="L211" s="35">
        <v>53600</v>
      </c>
    </row>
    <row r="212" spans="1:12" x14ac:dyDescent="0.25">
      <c r="A212">
        <v>0</v>
      </c>
      <c r="B212" t="s">
        <v>250</v>
      </c>
      <c r="C212" s="18">
        <v>45808</v>
      </c>
      <c r="D212" t="str">
        <f t="shared" si="6"/>
        <v>6552</v>
      </c>
      <c r="E212" s="18">
        <v>45808</v>
      </c>
      <c r="F212" t="str">
        <f>"003958"</f>
        <v>003958</v>
      </c>
      <c r="G212" t="s">
        <v>247</v>
      </c>
      <c r="H212" t="s">
        <v>585</v>
      </c>
      <c r="L212" s="35">
        <v>66400</v>
      </c>
    </row>
    <row r="213" spans="1:12" x14ac:dyDescent="0.25">
      <c r="A213">
        <v>0</v>
      </c>
      <c r="B213" t="s">
        <v>250</v>
      </c>
      <c r="C213" s="18">
        <v>45808</v>
      </c>
      <c r="D213" t="str">
        <f t="shared" si="6"/>
        <v>6552</v>
      </c>
      <c r="E213" s="18">
        <v>45808</v>
      </c>
      <c r="F213" t="str">
        <f>"003245"</f>
        <v>003245</v>
      </c>
      <c r="G213" t="s">
        <v>247</v>
      </c>
      <c r="H213" t="s">
        <v>586</v>
      </c>
      <c r="L213" s="35">
        <v>239680</v>
      </c>
    </row>
    <row r="214" spans="1:12" x14ac:dyDescent="0.25">
      <c r="A214">
        <v>0</v>
      </c>
      <c r="B214" t="s">
        <v>250</v>
      </c>
      <c r="C214" s="18">
        <v>45808</v>
      </c>
      <c r="D214" t="str">
        <f t="shared" si="6"/>
        <v>6552</v>
      </c>
      <c r="E214" s="18">
        <v>45808</v>
      </c>
      <c r="F214" t="s">
        <v>587</v>
      </c>
      <c r="G214" t="s">
        <v>247</v>
      </c>
      <c r="H214" t="s">
        <v>588</v>
      </c>
      <c r="L214" s="35">
        <v>29680</v>
      </c>
    </row>
    <row r="215" spans="1:12" x14ac:dyDescent="0.25">
      <c r="A215">
        <v>0</v>
      </c>
      <c r="B215" t="s">
        <v>250</v>
      </c>
      <c r="C215" s="18">
        <v>45808</v>
      </c>
      <c r="D215" t="str">
        <f t="shared" si="6"/>
        <v>6552</v>
      </c>
      <c r="E215" s="18">
        <v>45808</v>
      </c>
      <c r="F215" t="s">
        <v>589</v>
      </c>
      <c r="G215" t="s">
        <v>247</v>
      </c>
      <c r="H215" t="s">
        <v>590</v>
      </c>
      <c r="L215" s="35">
        <v>1923200</v>
      </c>
    </row>
    <row r="216" spans="1:12" x14ac:dyDescent="0.25">
      <c r="A216">
        <v>0</v>
      </c>
      <c r="B216" t="s">
        <v>250</v>
      </c>
      <c r="C216" s="18">
        <v>45808</v>
      </c>
      <c r="D216" t="str">
        <f t="shared" si="6"/>
        <v>6552</v>
      </c>
      <c r="E216" s="18">
        <v>45808</v>
      </c>
      <c r="F216" t="s">
        <v>591</v>
      </c>
      <c r="G216" t="s">
        <v>247</v>
      </c>
      <c r="H216" t="s">
        <v>592</v>
      </c>
      <c r="L216" s="35">
        <v>32000</v>
      </c>
    </row>
    <row r="217" spans="1:12" x14ac:dyDescent="0.25">
      <c r="A217">
        <v>0</v>
      </c>
      <c r="B217" t="s">
        <v>250</v>
      </c>
      <c r="C217" s="18">
        <v>45815</v>
      </c>
      <c r="D217" t="str">
        <f>"6598"</f>
        <v>6598</v>
      </c>
      <c r="E217" s="18">
        <v>45815</v>
      </c>
      <c r="F217" t="str">
        <f>"24162"</f>
        <v>24162</v>
      </c>
      <c r="G217" t="s">
        <v>247</v>
      </c>
      <c r="H217" t="s">
        <v>593</v>
      </c>
      <c r="L217" s="35">
        <v>60000</v>
      </c>
    </row>
    <row r="218" spans="1:12" x14ac:dyDescent="0.25">
      <c r="A218">
        <v>0</v>
      </c>
      <c r="B218" t="s">
        <v>250</v>
      </c>
      <c r="C218" s="18">
        <v>45814</v>
      </c>
      <c r="D218" t="str">
        <f>"6682"</f>
        <v>6682</v>
      </c>
      <c r="E218" s="18">
        <v>45814</v>
      </c>
      <c r="F218" t="str">
        <f>"24137"</f>
        <v>24137</v>
      </c>
      <c r="G218" t="s">
        <v>247</v>
      </c>
      <c r="H218" t="s">
        <v>593</v>
      </c>
      <c r="L218" s="35">
        <v>158500</v>
      </c>
    </row>
    <row r="219" spans="1:12" x14ac:dyDescent="0.25">
      <c r="A219">
        <v>0</v>
      </c>
      <c r="B219" t="s">
        <v>407</v>
      </c>
      <c r="C219" s="18">
        <v>45828</v>
      </c>
      <c r="D219" t="str">
        <f>"6732"</f>
        <v>6732</v>
      </c>
      <c r="E219" s="18">
        <v>45828</v>
      </c>
      <c r="F219" t="str">
        <f>"24162"</f>
        <v>24162</v>
      </c>
      <c r="G219" t="s">
        <v>247</v>
      </c>
      <c r="H219" t="s">
        <v>594</v>
      </c>
      <c r="L219" s="35">
        <v>800</v>
      </c>
    </row>
    <row r="220" spans="1:12" x14ac:dyDescent="0.25">
      <c r="A220">
        <v>0</v>
      </c>
      <c r="B220" t="s">
        <v>407</v>
      </c>
      <c r="C220" s="18">
        <v>45835</v>
      </c>
      <c r="D220" t="str">
        <f>"6907"</f>
        <v>6907</v>
      </c>
      <c r="E220" s="18">
        <v>45835</v>
      </c>
      <c r="F220" t="str">
        <f>"24137"</f>
        <v>24137</v>
      </c>
      <c r="G220" t="s">
        <v>247</v>
      </c>
      <c r="H220" t="s">
        <v>594</v>
      </c>
      <c r="L220" s="35">
        <v>1500</v>
      </c>
    </row>
    <row r="221" spans="1:12" x14ac:dyDescent="0.25">
      <c r="A221">
        <v>0</v>
      </c>
      <c r="B221" t="s">
        <v>250</v>
      </c>
      <c r="C221" s="18">
        <v>45828</v>
      </c>
      <c r="D221" t="str">
        <f>"6957"</f>
        <v>6957</v>
      </c>
      <c r="E221" s="18">
        <v>45828</v>
      </c>
      <c r="F221" t="str">
        <f>"24432"</f>
        <v>24432</v>
      </c>
      <c r="G221" t="s">
        <v>247</v>
      </c>
      <c r="H221" t="s">
        <v>595</v>
      </c>
      <c r="L221" s="35">
        <v>25200</v>
      </c>
    </row>
    <row r="222" spans="1:12" x14ac:dyDescent="0.25">
      <c r="A222">
        <v>0</v>
      </c>
      <c r="B222" t="s">
        <v>250</v>
      </c>
      <c r="C222" s="18">
        <v>45828</v>
      </c>
      <c r="D222" t="str">
        <f>"6957"</f>
        <v>6957</v>
      </c>
      <c r="E222" s="18">
        <v>45828</v>
      </c>
      <c r="F222" t="str">
        <f>"24433"</f>
        <v>24433</v>
      </c>
      <c r="G222" t="s">
        <v>247</v>
      </c>
      <c r="H222" t="s">
        <v>596</v>
      </c>
      <c r="L222" s="35">
        <v>34800</v>
      </c>
    </row>
    <row r="223" spans="1:12" x14ac:dyDescent="0.25">
      <c r="A223">
        <v>0</v>
      </c>
      <c r="B223" t="s">
        <v>250</v>
      </c>
      <c r="C223" s="18">
        <v>45835</v>
      </c>
      <c r="D223" t="str">
        <f>"6958"</f>
        <v>6958</v>
      </c>
      <c r="E223" s="18">
        <v>45835</v>
      </c>
      <c r="F223" t="str">
        <f>"24478"</f>
        <v>24478</v>
      </c>
      <c r="G223" t="s">
        <v>247</v>
      </c>
      <c r="H223" t="s">
        <v>597</v>
      </c>
      <c r="L223" s="35">
        <v>60480</v>
      </c>
    </row>
    <row r="224" spans="1:12" x14ac:dyDescent="0.25">
      <c r="A224">
        <v>0</v>
      </c>
      <c r="B224" t="s">
        <v>250</v>
      </c>
      <c r="C224" s="18">
        <v>45835</v>
      </c>
      <c r="D224" t="str">
        <f>"6958"</f>
        <v>6958</v>
      </c>
      <c r="E224" s="18">
        <v>45835</v>
      </c>
      <c r="F224" t="str">
        <f>"24465"</f>
        <v>24465</v>
      </c>
      <c r="G224" t="s">
        <v>247</v>
      </c>
      <c r="H224" t="s">
        <v>598</v>
      </c>
      <c r="L224" s="35">
        <v>122640</v>
      </c>
    </row>
    <row r="225" spans="1:12" x14ac:dyDescent="0.25">
      <c r="A225">
        <v>0</v>
      </c>
      <c r="B225" t="s">
        <v>407</v>
      </c>
      <c r="C225" s="18">
        <v>45840</v>
      </c>
      <c r="D225" t="str">
        <f>"7066"</f>
        <v>7066</v>
      </c>
      <c r="E225" s="18">
        <v>45840</v>
      </c>
      <c r="F225" t="str">
        <f>"24432"</f>
        <v>24432</v>
      </c>
      <c r="G225" t="s">
        <v>247</v>
      </c>
      <c r="H225" t="s">
        <v>599</v>
      </c>
      <c r="L225" s="35">
        <v>400</v>
      </c>
    </row>
    <row r="226" spans="1:12" x14ac:dyDescent="0.25">
      <c r="A226">
        <v>0</v>
      </c>
      <c r="B226" t="s">
        <v>407</v>
      </c>
      <c r="C226" s="18">
        <v>45840</v>
      </c>
      <c r="D226" t="str">
        <f>"7066"</f>
        <v>7066</v>
      </c>
      <c r="E226" s="18">
        <v>45840</v>
      </c>
      <c r="F226" t="str">
        <f>"24478"</f>
        <v>24478</v>
      </c>
      <c r="G226" t="s">
        <v>247</v>
      </c>
      <c r="H226" t="s">
        <v>600</v>
      </c>
      <c r="L226" s="35">
        <v>800</v>
      </c>
    </row>
    <row r="227" spans="1:12" x14ac:dyDescent="0.25">
      <c r="A227">
        <v>0</v>
      </c>
      <c r="B227" t="s">
        <v>337</v>
      </c>
      <c r="C227" s="18">
        <v>45838</v>
      </c>
      <c r="D227" t="str">
        <f>"7201"</f>
        <v>7201</v>
      </c>
      <c r="E227" s="18">
        <v>45838</v>
      </c>
      <c r="G227" t="s">
        <v>247</v>
      </c>
      <c r="H227" t="s">
        <v>601</v>
      </c>
      <c r="L227" s="35">
        <v>32650.880000000001</v>
      </c>
    </row>
    <row r="228" spans="1:12" x14ac:dyDescent="0.25">
      <c r="A228">
        <v>0</v>
      </c>
      <c r="B228" t="s">
        <v>337</v>
      </c>
      <c r="C228" s="18">
        <v>45838</v>
      </c>
      <c r="D228" t="str">
        <f>"7202"</f>
        <v>7202</v>
      </c>
      <c r="E228" s="18">
        <v>45838</v>
      </c>
      <c r="G228" t="s">
        <v>247</v>
      </c>
      <c r="H228" t="s">
        <v>602</v>
      </c>
      <c r="L228" s="35">
        <v>10800</v>
      </c>
    </row>
    <row r="229" spans="1:12" x14ac:dyDescent="0.25">
      <c r="A229">
        <v>0</v>
      </c>
      <c r="B229" t="s">
        <v>337</v>
      </c>
      <c r="C229" s="18">
        <v>45819</v>
      </c>
      <c r="D229" t="str">
        <f>"7203"</f>
        <v>7203</v>
      </c>
      <c r="E229" s="18">
        <v>45819</v>
      </c>
      <c r="G229" t="s">
        <v>247</v>
      </c>
      <c r="H229" t="s">
        <v>603</v>
      </c>
      <c r="L229" s="35">
        <v>9600</v>
      </c>
    </row>
    <row r="230" spans="1:12" x14ac:dyDescent="0.25">
      <c r="A230">
        <v>0</v>
      </c>
      <c r="B230" t="s">
        <v>337</v>
      </c>
      <c r="C230" s="18">
        <v>45821</v>
      </c>
      <c r="D230" t="str">
        <f>"7204"</f>
        <v>7204</v>
      </c>
      <c r="E230" s="18">
        <v>45821</v>
      </c>
      <c r="G230" t="s">
        <v>247</v>
      </c>
      <c r="H230" t="s">
        <v>604</v>
      </c>
      <c r="L230" s="35">
        <v>3000</v>
      </c>
    </row>
    <row r="231" spans="1:12" x14ac:dyDescent="0.25">
      <c r="A231">
        <v>0</v>
      </c>
      <c r="B231" t="s">
        <v>337</v>
      </c>
      <c r="C231" s="18">
        <v>45828</v>
      </c>
      <c r="D231" t="str">
        <f>"7205"</f>
        <v>7205</v>
      </c>
      <c r="E231" s="18">
        <v>45828</v>
      </c>
      <c r="G231" t="s">
        <v>247</v>
      </c>
      <c r="H231" t="s">
        <v>605</v>
      </c>
      <c r="L231" s="35">
        <v>3000</v>
      </c>
    </row>
    <row r="232" spans="1:12" x14ac:dyDescent="0.25">
      <c r="A232">
        <v>0</v>
      </c>
      <c r="B232" t="s">
        <v>250</v>
      </c>
      <c r="C232" s="18">
        <v>45842</v>
      </c>
      <c r="D232" t="str">
        <f>"7228"</f>
        <v>7228</v>
      </c>
      <c r="E232" s="18">
        <v>45842</v>
      </c>
      <c r="F232" t="str">
        <f>"24607"</f>
        <v>24607</v>
      </c>
      <c r="G232" t="s">
        <v>247</v>
      </c>
      <c r="H232" t="s">
        <v>606</v>
      </c>
      <c r="L232" s="35">
        <v>46400</v>
      </c>
    </row>
    <row r="233" spans="1:12" x14ac:dyDescent="0.25">
      <c r="A233">
        <v>0</v>
      </c>
      <c r="B233" t="s">
        <v>250</v>
      </c>
      <c r="C233" s="18">
        <v>45828</v>
      </c>
      <c r="D233" t="str">
        <f>"7229"</f>
        <v>7229</v>
      </c>
      <c r="E233" s="18">
        <v>45828</v>
      </c>
      <c r="F233" t="str">
        <f>"24363"</f>
        <v>24363</v>
      </c>
      <c r="G233" t="s">
        <v>247</v>
      </c>
      <c r="H233" t="s">
        <v>596</v>
      </c>
      <c r="L233" s="35">
        <v>1511200</v>
      </c>
    </row>
    <row r="234" spans="1:12" x14ac:dyDescent="0.25">
      <c r="A234">
        <v>0</v>
      </c>
      <c r="B234" t="s">
        <v>250</v>
      </c>
      <c r="C234" s="18">
        <v>45838</v>
      </c>
      <c r="D234" t="str">
        <f>"7370"</f>
        <v>7370</v>
      </c>
      <c r="E234" s="18">
        <v>45838</v>
      </c>
      <c r="F234" t="s">
        <v>607</v>
      </c>
      <c r="G234" t="s">
        <v>247</v>
      </c>
      <c r="H234" t="s">
        <v>608</v>
      </c>
      <c r="L234" s="35">
        <v>110000</v>
      </c>
    </row>
    <row r="235" spans="1:12" x14ac:dyDescent="0.25">
      <c r="A235">
        <v>0</v>
      </c>
      <c r="B235" t="s">
        <v>250</v>
      </c>
      <c r="C235" s="18">
        <v>45869</v>
      </c>
      <c r="D235" t="str">
        <f>"7371"</f>
        <v>7371</v>
      </c>
      <c r="E235" s="18">
        <v>45869</v>
      </c>
      <c r="F235" t="s">
        <v>609</v>
      </c>
      <c r="G235" t="s">
        <v>247</v>
      </c>
      <c r="H235" t="s">
        <v>610</v>
      </c>
      <c r="L235" s="35">
        <v>277680</v>
      </c>
    </row>
    <row r="236" spans="1:12" x14ac:dyDescent="0.25">
      <c r="A236">
        <v>0</v>
      </c>
      <c r="B236" t="s">
        <v>250</v>
      </c>
      <c r="C236" s="18">
        <v>45869</v>
      </c>
      <c r="D236" t="str">
        <f>"7371"</f>
        <v>7371</v>
      </c>
      <c r="E236" s="18">
        <v>45869</v>
      </c>
      <c r="F236" t="s">
        <v>611</v>
      </c>
      <c r="G236" t="s">
        <v>247</v>
      </c>
      <c r="H236" t="s">
        <v>612</v>
      </c>
      <c r="L236" s="35">
        <v>813440</v>
      </c>
    </row>
    <row r="237" spans="1:12" x14ac:dyDescent="0.25">
      <c r="A237">
        <v>0</v>
      </c>
      <c r="B237" t="s">
        <v>250</v>
      </c>
      <c r="C237" s="18">
        <v>45849</v>
      </c>
      <c r="D237" t="str">
        <f>"7455"</f>
        <v>7455</v>
      </c>
      <c r="E237" s="18">
        <v>45849</v>
      </c>
      <c r="F237" t="str">
        <f>"24681"</f>
        <v>24681</v>
      </c>
      <c r="G237" t="s">
        <v>247</v>
      </c>
      <c r="H237" t="s">
        <v>613</v>
      </c>
      <c r="L237" s="35">
        <v>93600</v>
      </c>
    </row>
    <row r="238" spans="1:12" x14ac:dyDescent="0.25">
      <c r="A238">
        <v>0</v>
      </c>
      <c r="B238" t="s">
        <v>250</v>
      </c>
      <c r="C238" s="18">
        <v>45838</v>
      </c>
      <c r="D238" t="str">
        <f>"7509"</f>
        <v>7509</v>
      </c>
      <c r="E238" s="18">
        <v>45838</v>
      </c>
      <c r="F238" t="str">
        <f>"351946"</f>
        <v>351946</v>
      </c>
      <c r="G238" t="s">
        <v>247</v>
      </c>
      <c r="H238" t="s">
        <v>614</v>
      </c>
      <c r="L238" s="35">
        <v>423616</v>
      </c>
    </row>
    <row r="239" spans="1:12" x14ac:dyDescent="0.25">
      <c r="A239">
        <v>0</v>
      </c>
      <c r="B239" t="s">
        <v>407</v>
      </c>
      <c r="C239" s="18">
        <v>45849</v>
      </c>
      <c r="D239" t="str">
        <f>"7537"</f>
        <v>7537</v>
      </c>
      <c r="E239" s="18">
        <v>45849</v>
      </c>
      <c r="F239" t="str">
        <f>"24681"</f>
        <v>24681</v>
      </c>
      <c r="G239" t="s">
        <v>247</v>
      </c>
      <c r="H239" t="s">
        <v>615</v>
      </c>
      <c r="L239" s="35">
        <v>800</v>
      </c>
    </row>
    <row r="240" spans="1:12" x14ac:dyDescent="0.25">
      <c r="A240">
        <v>0</v>
      </c>
      <c r="B240" t="s">
        <v>250</v>
      </c>
      <c r="C240" s="18">
        <v>45838</v>
      </c>
      <c r="D240" t="str">
        <f t="shared" ref="D240:D251" si="7">"7570"</f>
        <v>7570</v>
      </c>
      <c r="E240" s="18">
        <v>45838</v>
      </c>
      <c r="F240" t="s">
        <v>616</v>
      </c>
      <c r="G240" t="s">
        <v>247</v>
      </c>
      <c r="H240" t="s">
        <v>617</v>
      </c>
      <c r="L240" s="35">
        <v>70240</v>
      </c>
    </row>
    <row r="241" spans="1:12" x14ac:dyDescent="0.25">
      <c r="A241">
        <v>0</v>
      </c>
      <c r="B241" t="s">
        <v>250</v>
      </c>
      <c r="C241" s="18">
        <v>45838</v>
      </c>
      <c r="D241" t="str">
        <f t="shared" si="7"/>
        <v>7570</v>
      </c>
      <c r="E241" s="18">
        <v>45838</v>
      </c>
      <c r="F241" t="s">
        <v>618</v>
      </c>
      <c r="G241" t="s">
        <v>247</v>
      </c>
      <c r="H241" t="s">
        <v>619</v>
      </c>
      <c r="L241" s="35">
        <v>18400</v>
      </c>
    </row>
    <row r="242" spans="1:12" x14ac:dyDescent="0.25">
      <c r="A242">
        <v>0</v>
      </c>
      <c r="B242" t="s">
        <v>250</v>
      </c>
      <c r="C242" s="18">
        <v>45838</v>
      </c>
      <c r="D242" t="str">
        <f t="shared" si="7"/>
        <v>7570</v>
      </c>
      <c r="E242" s="18">
        <v>45838</v>
      </c>
      <c r="F242" t="s">
        <v>620</v>
      </c>
      <c r="G242" t="s">
        <v>247</v>
      </c>
      <c r="H242" t="s">
        <v>621</v>
      </c>
      <c r="L242" s="35">
        <v>156160</v>
      </c>
    </row>
    <row r="243" spans="1:12" x14ac:dyDescent="0.25">
      <c r="A243">
        <v>0</v>
      </c>
      <c r="B243" t="s">
        <v>250</v>
      </c>
      <c r="C243" s="18">
        <v>45838</v>
      </c>
      <c r="D243" t="str">
        <f t="shared" si="7"/>
        <v>7570</v>
      </c>
      <c r="E243" s="18">
        <v>45838</v>
      </c>
      <c r="F243" t="s">
        <v>622</v>
      </c>
      <c r="G243" t="s">
        <v>247</v>
      </c>
      <c r="H243" t="s">
        <v>623</v>
      </c>
      <c r="L243" s="35">
        <v>1264400</v>
      </c>
    </row>
    <row r="244" spans="1:12" x14ac:dyDescent="0.25">
      <c r="A244">
        <v>0</v>
      </c>
      <c r="B244" t="s">
        <v>250</v>
      </c>
      <c r="C244" s="18">
        <v>45838</v>
      </c>
      <c r="D244" t="str">
        <f t="shared" si="7"/>
        <v>7570</v>
      </c>
      <c r="E244" s="18">
        <v>45838</v>
      </c>
      <c r="F244" t="s">
        <v>624</v>
      </c>
      <c r="G244" t="s">
        <v>247</v>
      </c>
      <c r="H244" t="s">
        <v>625</v>
      </c>
      <c r="L244" s="35">
        <v>290440</v>
      </c>
    </row>
    <row r="245" spans="1:12" x14ac:dyDescent="0.25">
      <c r="A245">
        <v>0</v>
      </c>
      <c r="B245" t="s">
        <v>250</v>
      </c>
      <c r="C245" s="18">
        <v>45838</v>
      </c>
      <c r="D245" t="str">
        <f t="shared" si="7"/>
        <v>7570</v>
      </c>
      <c r="E245" s="18">
        <v>45838</v>
      </c>
      <c r="F245" t="s">
        <v>626</v>
      </c>
      <c r="G245" t="s">
        <v>247</v>
      </c>
      <c r="H245" t="s">
        <v>627</v>
      </c>
      <c r="L245" s="35">
        <v>120800</v>
      </c>
    </row>
    <row r="246" spans="1:12" x14ac:dyDescent="0.25">
      <c r="A246">
        <v>0</v>
      </c>
      <c r="B246" t="s">
        <v>250</v>
      </c>
      <c r="C246" s="18">
        <v>45838</v>
      </c>
      <c r="D246" t="str">
        <f t="shared" si="7"/>
        <v>7570</v>
      </c>
      <c r="E246" s="18">
        <v>45838</v>
      </c>
      <c r="F246" s="18">
        <v>45758</v>
      </c>
      <c r="G246" t="s">
        <v>247</v>
      </c>
      <c r="H246" t="s">
        <v>628</v>
      </c>
      <c r="L246" s="35">
        <v>13600</v>
      </c>
    </row>
    <row r="247" spans="1:12" x14ac:dyDescent="0.25">
      <c r="A247">
        <v>0</v>
      </c>
      <c r="B247" t="s">
        <v>250</v>
      </c>
      <c r="C247" s="18">
        <v>45838</v>
      </c>
      <c r="D247" t="str">
        <f t="shared" si="7"/>
        <v>7570</v>
      </c>
      <c r="E247" s="18">
        <v>45838</v>
      </c>
      <c r="F247" t="str">
        <f>"256621"</f>
        <v>256621</v>
      </c>
      <c r="G247" t="s">
        <v>247</v>
      </c>
      <c r="H247" t="s">
        <v>629</v>
      </c>
      <c r="L247" s="35">
        <v>120320</v>
      </c>
    </row>
    <row r="248" spans="1:12" x14ac:dyDescent="0.25">
      <c r="A248">
        <v>0</v>
      </c>
      <c r="B248" t="s">
        <v>250</v>
      </c>
      <c r="C248" s="18">
        <v>45838</v>
      </c>
      <c r="D248" t="str">
        <f t="shared" si="7"/>
        <v>7570</v>
      </c>
      <c r="E248" s="18">
        <v>45838</v>
      </c>
      <c r="F248" t="s">
        <v>630</v>
      </c>
      <c r="G248" t="s">
        <v>247</v>
      </c>
      <c r="H248" t="s">
        <v>631</v>
      </c>
      <c r="L248" s="35">
        <v>129440</v>
      </c>
    </row>
    <row r="249" spans="1:12" x14ac:dyDescent="0.25">
      <c r="A249">
        <v>0</v>
      </c>
      <c r="B249" t="s">
        <v>250</v>
      </c>
      <c r="C249" s="18">
        <v>45838</v>
      </c>
      <c r="D249" t="str">
        <f t="shared" si="7"/>
        <v>7570</v>
      </c>
      <c r="E249" s="18">
        <v>45838</v>
      </c>
      <c r="F249" t="str">
        <f>"280645"</f>
        <v>280645</v>
      </c>
      <c r="G249" t="s">
        <v>247</v>
      </c>
      <c r="H249" t="s">
        <v>632</v>
      </c>
      <c r="L249" s="35">
        <v>256080</v>
      </c>
    </row>
    <row r="250" spans="1:12" x14ac:dyDescent="0.25">
      <c r="A250">
        <v>0</v>
      </c>
      <c r="B250" t="s">
        <v>250</v>
      </c>
      <c r="C250" s="18">
        <v>45838</v>
      </c>
      <c r="D250" t="str">
        <f t="shared" si="7"/>
        <v>7570</v>
      </c>
      <c r="E250" s="18">
        <v>45838</v>
      </c>
      <c r="F250" t="s">
        <v>633</v>
      </c>
      <c r="G250" t="s">
        <v>247</v>
      </c>
      <c r="H250" t="s">
        <v>634</v>
      </c>
      <c r="L250" s="35">
        <v>116160</v>
      </c>
    </row>
    <row r="251" spans="1:12" x14ac:dyDescent="0.25">
      <c r="A251">
        <v>0</v>
      </c>
      <c r="B251" t="s">
        <v>250</v>
      </c>
      <c r="C251" s="18">
        <v>45838</v>
      </c>
      <c r="D251" t="str">
        <f t="shared" si="7"/>
        <v>7570</v>
      </c>
      <c r="E251" s="18">
        <v>45838</v>
      </c>
      <c r="F251" t="s">
        <v>635</v>
      </c>
      <c r="G251" t="s">
        <v>247</v>
      </c>
      <c r="H251" t="s">
        <v>636</v>
      </c>
      <c r="L251" s="35">
        <v>30320</v>
      </c>
    </row>
    <row r="252" spans="1:12" x14ac:dyDescent="0.25">
      <c r="A252">
        <v>0</v>
      </c>
      <c r="B252" t="s">
        <v>250</v>
      </c>
      <c r="C252" s="18">
        <v>45849</v>
      </c>
      <c r="D252" t="str">
        <f>"7592"</f>
        <v>7592</v>
      </c>
      <c r="E252" s="18">
        <v>45849</v>
      </c>
      <c r="F252" t="str">
        <f>"24731"</f>
        <v>24731</v>
      </c>
      <c r="G252" t="s">
        <v>247</v>
      </c>
      <c r="H252" t="s">
        <v>613</v>
      </c>
      <c r="L252" s="35">
        <v>121840</v>
      </c>
    </row>
    <row r="253" spans="1:12" x14ac:dyDescent="0.25">
      <c r="A253">
        <v>0</v>
      </c>
      <c r="B253" t="s">
        <v>407</v>
      </c>
      <c r="C253" s="18">
        <v>45854</v>
      </c>
      <c r="D253" t="str">
        <f>"7674"</f>
        <v>7674</v>
      </c>
      <c r="E253" s="18">
        <v>45854</v>
      </c>
      <c r="F253" t="str">
        <f>"24731"</f>
        <v>24731</v>
      </c>
      <c r="G253" t="s">
        <v>247</v>
      </c>
      <c r="H253" t="s">
        <v>615</v>
      </c>
      <c r="L253" s="35">
        <v>1500</v>
      </c>
    </row>
    <row r="254" spans="1:12" x14ac:dyDescent="0.25">
      <c r="A254">
        <v>0</v>
      </c>
      <c r="B254" t="s">
        <v>337</v>
      </c>
      <c r="C254" s="18">
        <v>45861</v>
      </c>
      <c r="D254" t="str">
        <f>"7835"</f>
        <v>7835</v>
      </c>
      <c r="E254" s="18">
        <v>45861</v>
      </c>
      <c r="G254" t="s">
        <v>247</v>
      </c>
      <c r="H254" t="s">
        <v>637</v>
      </c>
      <c r="L254" s="35">
        <v>19912387.52</v>
      </c>
    </row>
    <row r="255" spans="1:12" x14ac:dyDescent="0.25">
      <c r="A255">
        <v>0</v>
      </c>
      <c r="B255" t="s">
        <v>250</v>
      </c>
      <c r="C255" s="18">
        <v>45869</v>
      </c>
      <c r="D255" t="str">
        <f>"7845"</f>
        <v>7845</v>
      </c>
      <c r="E255" s="18">
        <v>45869</v>
      </c>
      <c r="F255" t="s">
        <v>638</v>
      </c>
      <c r="G255" t="s">
        <v>247</v>
      </c>
      <c r="H255" t="s">
        <v>639</v>
      </c>
      <c r="L255" s="35">
        <v>45280</v>
      </c>
    </row>
    <row r="256" spans="1:12" x14ac:dyDescent="0.25">
      <c r="A256">
        <v>0</v>
      </c>
      <c r="B256" t="s">
        <v>248</v>
      </c>
      <c r="C256" s="18">
        <v>45861</v>
      </c>
      <c r="D256" t="str">
        <f>"7955"</f>
        <v>7955</v>
      </c>
      <c r="F256" t="s">
        <v>640</v>
      </c>
      <c r="G256" t="s">
        <v>247</v>
      </c>
      <c r="H256" t="s">
        <v>641</v>
      </c>
      <c r="L256" s="35">
        <v>916703.28</v>
      </c>
    </row>
    <row r="257" spans="1:12" x14ac:dyDescent="0.25">
      <c r="A257">
        <v>0</v>
      </c>
      <c r="B257" t="s">
        <v>244</v>
      </c>
      <c r="C257" s="18">
        <v>45658</v>
      </c>
      <c r="D257" t="str">
        <f>"7979"</f>
        <v>7979</v>
      </c>
      <c r="E257" s="18">
        <v>45283</v>
      </c>
      <c r="F257" t="str">
        <f>"16691"</f>
        <v>16691</v>
      </c>
      <c r="G257" t="s">
        <v>247</v>
      </c>
      <c r="H257" t="s">
        <v>642</v>
      </c>
      <c r="L257" s="35">
        <v>150000</v>
      </c>
    </row>
    <row r="258" spans="1:12" x14ac:dyDescent="0.25">
      <c r="A258">
        <v>0</v>
      </c>
      <c r="B258" t="s">
        <v>244</v>
      </c>
      <c r="C258" s="18">
        <v>45658</v>
      </c>
      <c r="D258" t="str">
        <f>"7980"</f>
        <v>7980</v>
      </c>
      <c r="E258" s="18">
        <v>45261</v>
      </c>
      <c r="F258" t="s">
        <v>643</v>
      </c>
      <c r="G258" t="s">
        <v>247</v>
      </c>
      <c r="H258" t="s">
        <v>644</v>
      </c>
      <c r="L258" s="35">
        <v>78800</v>
      </c>
    </row>
    <row r="259" spans="1:12" x14ac:dyDescent="0.25">
      <c r="A259">
        <v>0</v>
      </c>
      <c r="B259" t="s">
        <v>244</v>
      </c>
      <c r="C259" s="18">
        <v>45658</v>
      </c>
      <c r="D259" t="str">
        <f>"7981"</f>
        <v>7981</v>
      </c>
      <c r="E259" s="18">
        <v>45265</v>
      </c>
      <c r="F259" t="str">
        <f>"331687"</f>
        <v>331687</v>
      </c>
      <c r="G259" t="s">
        <v>645</v>
      </c>
      <c r="H259" t="s">
        <v>646</v>
      </c>
      <c r="L259" s="35">
        <v>600000</v>
      </c>
    </row>
    <row r="260" spans="1:12" x14ac:dyDescent="0.25">
      <c r="A260">
        <v>0</v>
      </c>
      <c r="B260" t="s">
        <v>244</v>
      </c>
      <c r="C260" s="18">
        <v>45658</v>
      </c>
      <c r="D260" t="str">
        <f>"7982"</f>
        <v>7982</v>
      </c>
      <c r="E260" s="18">
        <v>45272</v>
      </c>
      <c r="F260" t="s">
        <v>647</v>
      </c>
      <c r="G260" t="s">
        <v>645</v>
      </c>
      <c r="H260" t="s">
        <v>648</v>
      </c>
      <c r="L260" s="35">
        <v>950400</v>
      </c>
    </row>
    <row r="261" spans="1:12" x14ac:dyDescent="0.25">
      <c r="A261">
        <v>0</v>
      </c>
      <c r="B261" t="s">
        <v>244</v>
      </c>
      <c r="C261" s="18">
        <v>45658</v>
      </c>
      <c r="D261" t="str">
        <f>"7983"</f>
        <v>7983</v>
      </c>
      <c r="E261" s="18">
        <v>45273</v>
      </c>
      <c r="F261" t="s">
        <v>649</v>
      </c>
      <c r="G261" t="s">
        <v>247</v>
      </c>
      <c r="H261" t="s">
        <v>650</v>
      </c>
      <c r="L261" s="35">
        <v>488160</v>
      </c>
    </row>
    <row r="262" spans="1:12" x14ac:dyDescent="0.25">
      <c r="A262">
        <v>0</v>
      </c>
      <c r="B262" t="s">
        <v>244</v>
      </c>
      <c r="C262" s="18">
        <v>45658</v>
      </c>
      <c r="D262" t="str">
        <f>"7984"</f>
        <v>7984</v>
      </c>
      <c r="E262" s="18">
        <v>45273</v>
      </c>
      <c r="F262" t="s">
        <v>651</v>
      </c>
      <c r="G262" t="s">
        <v>247</v>
      </c>
      <c r="H262" t="s">
        <v>652</v>
      </c>
      <c r="L262" s="35">
        <v>756320</v>
      </c>
    </row>
    <row r="263" spans="1:12" x14ac:dyDescent="0.25">
      <c r="A263">
        <v>0</v>
      </c>
      <c r="B263" t="s">
        <v>244</v>
      </c>
      <c r="C263" s="18">
        <v>45658</v>
      </c>
      <c r="D263" t="str">
        <f>"7985"</f>
        <v>7985</v>
      </c>
      <c r="E263" s="18">
        <v>44925</v>
      </c>
      <c r="F263" t="s">
        <v>653</v>
      </c>
      <c r="G263" t="s">
        <v>247</v>
      </c>
      <c r="H263" t="s">
        <v>654</v>
      </c>
      <c r="L263" s="35">
        <v>41600</v>
      </c>
    </row>
    <row r="264" spans="1:12" x14ac:dyDescent="0.25">
      <c r="A264">
        <v>0</v>
      </c>
      <c r="B264" t="s">
        <v>244</v>
      </c>
      <c r="C264" s="18">
        <v>45658</v>
      </c>
      <c r="D264" t="str">
        <f>"7986"</f>
        <v>7986</v>
      </c>
      <c r="E264" s="18">
        <v>44925</v>
      </c>
      <c r="F264" t="s">
        <v>655</v>
      </c>
      <c r="G264" t="s">
        <v>247</v>
      </c>
      <c r="H264" t="s">
        <v>656</v>
      </c>
      <c r="L264" s="35">
        <v>238500</v>
      </c>
    </row>
    <row r="265" spans="1:12" x14ac:dyDescent="0.25">
      <c r="A265">
        <v>0</v>
      </c>
      <c r="B265" t="s">
        <v>244</v>
      </c>
      <c r="C265" s="18">
        <v>45658</v>
      </c>
      <c r="D265" t="str">
        <f>"7987"</f>
        <v>7987</v>
      </c>
      <c r="E265" s="18">
        <v>44925</v>
      </c>
      <c r="F265" t="s">
        <v>657</v>
      </c>
      <c r="G265" t="s">
        <v>247</v>
      </c>
      <c r="H265" t="s">
        <v>658</v>
      </c>
      <c r="L265" s="35">
        <v>21280</v>
      </c>
    </row>
    <row r="266" spans="1:12" x14ac:dyDescent="0.25">
      <c r="A266">
        <v>0</v>
      </c>
      <c r="B266" t="s">
        <v>244</v>
      </c>
      <c r="C266" s="18">
        <v>45658</v>
      </c>
      <c r="D266" t="str">
        <f>"7988"</f>
        <v>7988</v>
      </c>
      <c r="E266" s="18">
        <v>45273</v>
      </c>
      <c r="F266" t="s">
        <v>659</v>
      </c>
      <c r="G266" t="s">
        <v>247</v>
      </c>
      <c r="H266" t="s">
        <v>660</v>
      </c>
      <c r="L266" s="35">
        <v>163440</v>
      </c>
    </row>
    <row r="267" spans="1:12" x14ac:dyDescent="0.25">
      <c r="A267">
        <v>0</v>
      </c>
      <c r="B267" t="s">
        <v>244</v>
      </c>
      <c r="C267" s="18">
        <v>45658</v>
      </c>
      <c r="D267" t="str">
        <f>"7989"</f>
        <v>7989</v>
      </c>
      <c r="E267" s="18">
        <v>45288</v>
      </c>
      <c r="F267" t="s">
        <v>661</v>
      </c>
      <c r="G267" t="s">
        <v>247</v>
      </c>
      <c r="H267" t="s">
        <v>662</v>
      </c>
      <c r="L267" s="35">
        <v>438400</v>
      </c>
    </row>
    <row r="268" spans="1:12" x14ac:dyDescent="0.25">
      <c r="A268">
        <v>0</v>
      </c>
      <c r="B268" t="s">
        <v>244</v>
      </c>
      <c r="C268" s="18">
        <v>45658</v>
      </c>
      <c r="D268" t="str">
        <f>"7990"</f>
        <v>7990</v>
      </c>
      <c r="E268" s="18">
        <v>45288</v>
      </c>
      <c r="F268" s="18">
        <v>45281</v>
      </c>
      <c r="G268" t="s">
        <v>247</v>
      </c>
      <c r="H268" t="s">
        <v>663</v>
      </c>
      <c r="L268" s="35">
        <v>130000</v>
      </c>
    </row>
    <row r="269" spans="1:12" x14ac:dyDescent="0.25">
      <c r="A269">
        <v>0</v>
      </c>
      <c r="B269" t="s">
        <v>244</v>
      </c>
      <c r="C269" s="18">
        <v>45658</v>
      </c>
      <c r="D269" t="str">
        <f>"7991"</f>
        <v>7991</v>
      </c>
      <c r="E269" s="18">
        <v>45272</v>
      </c>
      <c r="F269" t="s">
        <v>664</v>
      </c>
      <c r="G269" t="s">
        <v>247</v>
      </c>
      <c r="H269" t="s">
        <v>665</v>
      </c>
      <c r="L269" s="35">
        <v>89920</v>
      </c>
    </row>
    <row r="270" spans="1:12" x14ac:dyDescent="0.25">
      <c r="A270">
        <v>0</v>
      </c>
      <c r="B270" t="s">
        <v>244</v>
      </c>
      <c r="C270" s="18">
        <v>45658</v>
      </c>
      <c r="D270" t="str">
        <f>"7992"</f>
        <v>7992</v>
      </c>
      <c r="E270" s="18">
        <v>45278</v>
      </c>
      <c r="F270" t="s">
        <v>666</v>
      </c>
      <c r="G270" t="s">
        <v>247</v>
      </c>
      <c r="H270" t="s">
        <v>667</v>
      </c>
      <c r="L270" s="35">
        <v>629920</v>
      </c>
    </row>
    <row r="271" spans="1:12" x14ac:dyDescent="0.25">
      <c r="A271">
        <v>0</v>
      </c>
      <c r="B271" t="s">
        <v>244</v>
      </c>
      <c r="C271" s="18">
        <v>45658</v>
      </c>
      <c r="D271" t="str">
        <f>"7993"</f>
        <v>7993</v>
      </c>
      <c r="E271" s="18">
        <v>45272</v>
      </c>
      <c r="F271" t="s">
        <v>668</v>
      </c>
      <c r="G271" t="s">
        <v>247</v>
      </c>
      <c r="H271" t="s">
        <v>669</v>
      </c>
      <c r="L271" s="35">
        <v>96000</v>
      </c>
    </row>
    <row r="272" spans="1:12" x14ac:dyDescent="0.25">
      <c r="A272">
        <v>0</v>
      </c>
      <c r="B272" t="s">
        <v>244</v>
      </c>
      <c r="C272" s="18">
        <v>45658</v>
      </c>
      <c r="D272" t="str">
        <f>"7994"</f>
        <v>7994</v>
      </c>
      <c r="E272" s="18">
        <v>44876</v>
      </c>
      <c r="F272" t="str">
        <f>"10321"</f>
        <v>10321</v>
      </c>
      <c r="G272" t="s">
        <v>247</v>
      </c>
      <c r="H272" t="s">
        <v>670</v>
      </c>
      <c r="L272" s="35">
        <v>300000</v>
      </c>
    </row>
    <row r="273" spans="1:12" x14ac:dyDescent="0.25">
      <c r="A273">
        <v>0</v>
      </c>
      <c r="B273" t="s">
        <v>244</v>
      </c>
      <c r="C273" s="18">
        <v>45658</v>
      </c>
      <c r="D273" t="str">
        <f>"7995"</f>
        <v>7995</v>
      </c>
      <c r="E273" s="18">
        <v>44876</v>
      </c>
      <c r="F273" t="str">
        <f>"10322"</f>
        <v>10322</v>
      </c>
      <c r="G273" t="s">
        <v>247</v>
      </c>
      <c r="H273" t="s">
        <v>671</v>
      </c>
      <c r="L273" s="35">
        <v>118000</v>
      </c>
    </row>
    <row r="274" spans="1:12" x14ac:dyDescent="0.25">
      <c r="A274">
        <v>0</v>
      </c>
      <c r="B274" t="s">
        <v>244</v>
      </c>
      <c r="C274" s="18">
        <v>45658</v>
      </c>
      <c r="D274" t="str">
        <f>"7996"</f>
        <v>7996</v>
      </c>
      <c r="E274" s="18">
        <v>44926</v>
      </c>
      <c r="F274" t="s">
        <v>672</v>
      </c>
      <c r="G274" t="s">
        <v>247</v>
      </c>
      <c r="H274" t="s">
        <v>673</v>
      </c>
      <c r="L274" s="35">
        <v>47360</v>
      </c>
    </row>
    <row r="275" spans="1:12" x14ac:dyDescent="0.25">
      <c r="A275">
        <v>0</v>
      </c>
      <c r="B275" t="s">
        <v>244</v>
      </c>
      <c r="C275" s="18">
        <v>45658</v>
      </c>
      <c r="D275" t="str">
        <f>"7997"</f>
        <v>7997</v>
      </c>
      <c r="E275" s="18">
        <v>45274</v>
      </c>
      <c r="F275" t="s">
        <v>674</v>
      </c>
      <c r="G275" t="s">
        <v>247</v>
      </c>
      <c r="H275" t="s">
        <v>675</v>
      </c>
      <c r="L275" s="35">
        <v>16080</v>
      </c>
    </row>
    <row r="276" spans="1:12" x14ac:dyDescent="0.25">
      <c r="A276">
        <v>0</v>
      </c>
      <c r="B276" t="s">
        <v>244</v>
      </c>
      <c r="C276" s="18">
        <v>45658</v>
      </c>
      <c r="D276" t="str">
        <f>"7998"</f>
        <v>7998</v>
      </c>
      <c r="E276" s="18">
        <v>45287</v>
      </c>
      <c r="F276" t="str">
        <f>"564165"</f>
        <v>564165</v>
      </c>
      <c r="G276" t="s">
        <v>247</v>
      </c>
      <c r="H276" t="s">
        <v>676</v>
      </c>
      <c r="L276" s="35">
        <v>127600</v>
      </c>
    </row>
    <row r="277" spans="1:12" x14ac:dyDescent="0.25">
      <c r="A277">
        <v>0</v>
      </c>
      <c r="B277" t="s">
        <v>244</v>
      </c>
      <c r="C277" s="18">
        <v>45658</v>
      </c>
      <c r="D277" t="str">
        <f>"7999"</f>
        <v>7999</v>
      </c>
      <c r="E277" s="18">
        <v>45289</v>
      </c>
      <c r="F277" t="s">
        <v>677</v>
      </c>
      <c r="G277" t="s">
        <v>247</v>
      </c>
      <c r="H277" t="s">
        <v>678</v>
      </c>
      <c r="L277" s="35">
        <v>288000</v>
      </c>
    </row>
    <row r="278" spans="1:12" x14ac:dyDescent="0.25">
      <c r="A278">
        <v>0</v>
      </c>
      <c r="B278" t="s">
        <v>244</v>
      </c>
      <c r="C278" s="18">
        <v>45658</v>
      </c>
      <c r="D278" t="str">
        <f>"8000"</f>
        <v>8000</v>
      </c>
      <c r="E278" s="18">
        <v>45289</v>
      </c>
      <c r="F278" t="s">
        <v>679</v>
      </c>
      <c r="G278" t="s">
        <v>247</v>
      </c>
      <c r="H278" t="s">
        <v>680</v>
      </c>
      <c r="L278" s="35">
        <v>420280</v>
      </c>
    </row>
    <row r="279" spans="1:12" x14ac:dyDescent="0.25">
      <c r="A279">
        <v>0</v>
      </c>
      <c r="B279" t="s">
        <v>244</v>
      </c>
      <c r="C279" s="18">
        <v>45658</v>
      </c>
      <c r="D279" t="str">
        <f>"8001"</f>
        <v>8001</v>
      </c>
      <c r="E279" s="18">
        <v>44939</v>
      </c>
      <c r="F279" t="str">
        <f>"10926"</f>
        <v>10926</v>
      </c>
      <c r="G279" t="s">
        <v>247</v>
      </c>
      <c r="H279" t="s">
        <v>681</v>
      </c>
      <c r="L279" s="35">
        <v>84000</v>
      </c>
    </row>
    <row r="280" spans="1:12" x14ac:dyDescent="0.25">
      <c r="A280">
        <v>0</v>
      </c>
      <c r="B280" t="s">
        <v>244</v>
      </c>
      <c r="C280" s="18">
        <v>45658</v>
      </c>
      <c r="D280" t="str">
        <f>"8002"</f>
        <v>8002</v>
      </c>
      <c r="E280" s="18">
        <v>45289</v>
      </c>
      <c r="F280" t="str">
        <f>"16779"</f>
        <v>16779</v>
      </c>
      <c r="G280" t="s">
        <v>247</v>
      </c>
      <c r="H280" t="s">
        <v>682</v>
      </c>
      <c r="L280" s="35">
        <v>220000</v>
      </c>
    </row>
    <row r="281" spans="1:12" x14ac:dyDescent="0.25">
      <c r="A281">
        <v>0</v>
      </c>
      <c r="B281" t="s">
        <v>244</v>
      </c>
      <c r="C281" s="18">
        <v>45658</v>
      </c>
      <c r="D281" t="str">
        <f>"8003"</f>
        <v>8003</v>
      </c>
      <c r="E281" s="18">
        <v>45291</v>
      </c>
      <c r="F281" t="str">
        <f>"926"</f>
        <v>926</v>
      </c>
      <c r="G281" t="s">
        <v>247</v>
      </c>
      <c r="H281" t="s">
        <v>683</v>
      </c>
      <c r="L281" s="35">
        <v>560000</v>
      </c>
    </row>
    <row r="282" spans="1:12" x14ac:dyDescent="0.25">
      <c r="A282">
        <v>0</v>
      </c>
      <c r="B282" t="s">
        <v>244</v>
      </c>
      <c r="C282" s="18">
        <v>45658</v>
      </c>
      <c r="D282" t="str">
        <f>"8004"</f>
        <v>8004</v>
      </c>
      <c r="E282" s="18">
        <v>45289</v>
      </c>
      <c r="F282" t="str">
        <f>"16780"</f>
        <v>16780</v>
      </c>
      <c r="G282" t="s">
        <v>247</v>
      </c>
      <c r="H282" t="s">
        <v>684</v>
      </c>
      <c r="L282" s="35">
        <v>32000</v>
      </c>
    </row>
    <row r="283" spans="1:12" x14ac:dyDescent="0.25">
      <c r="A283">
        <v>0</v>
      </c>
      <c r="B283" t="s">
        <v>244</v>
      </c>
      <c r="C283" s="18">
        <v>45658</v>
      </c>
      <c r="D283" t="str">
        <f>"8005"</f>
        <v>8005</v>
      </c>
      <c r="E283" s="18">
        <v>44926</v>
      </c>
      <c r="F283" t="str">
        <f>"008206"</f>
        <v>008206</v>
      </c>
      <c r="G283" t="s">
        <v>247</v>
      </c>
      <c r="H283" t="s">
        <v>685</v>
      </c>
      <c r="L283" s="35">
        <v>38160</v>
      </c>
    </row>
    <row r="284" spans="1:12" x14ac:dyDescent="0.25">
      <c r="A284">
        <v>0</v>
      </c>
      <c r="B284" t="s">
        <v>244</v>
      </c>
      <c r="C284" s="18">
        <v>45658</v>
      </c>
      <c r="D284" t="str">
        <f>"8006"</f>
        <v>8006</v>
      </c>
      <c r="E284" s="18">
        <v>45288</v>
      </c>
      <c r="F284" t="s">
        <v>686</v>
      </c>
      <c r="G284" t="s">
        <v>247</v>
      </c>
      <c r="H284" t="s">
        <v>687</v>
      </c>
      <c r="L284" s="35">
        <v>32400</v>
      </c>
    </row>
    <row r="285" spans="1:12" x14ac:dyDescent="0.25">
      <c r="A285">
        <v>0</v>
      </c>
      <c r="B285" t="s">
        <v>244</v>
      </c>
      <c r="C285" s="18">
        <v>45658</v>
      </c>
      <c r="D285" t="str">
        <f>"8007"</f>
        <v>8007</v>
      </c>
      <c r="E285" s="18">
        <v>44926</v>
      </c>
      <c r="F285" t="s">
        <v>688</v>
      </c>
      <c r="G285" t="s">
        <v>247</v>
      </c>
      <c r="H285" t="s">
        <v>689</v>
      </c>
      <c r="L285" s="35">
        <v>88000</v>
      </c>
    </row>
    <row r="286" spans="1:12" x14ac:dyDescent="0.25">
      <c r="A286">
        <v>0</v>
      </c>
      <c r="B286" t="s">
        <v>244</v>
      </c>
      <c r="C286" s="18">
        <v>45658</v>
      </c>
      <c r="D286" t="str">
        <f>"8008"</f>
        <v>8008</v>
      </c>
      <c r="E286" s="18">
        <v>44926</v>
      </c>
      <c r="F286" t="s">
        <v>690</v>
      </c>
      <c r="G286" t="s">
        <v>247</v>
      </c>
      <c r="H286" t="s">
        <v>691</v>
      </c>
      <c r="L286" s="35">
        <v>24000</v>
      </c>
    </row>
    <row r="287" spans="1:12" x14ac:dyDescent="0.25">
      <c r="A287">
        <v>0</v>
      </c>
      <c r="B287" t="s">
        <v>244</v>
      </c>
      <c r="C287" s="18">
        <v>45658</v>
      </c>
      <c r="D287" t="str">
        <f>"8009"</f>
        <v>8009</v>
      </c>
      <c r="E287" s="18">
        <v>44926</v>
      </c>
      <c r="F287" t="str">
        <f>"498074"</f>
        <v>498074</v>
      </c>
      <c r="G287" t="s">
        <v>247</v>
      </c>
      <c r="H287" t="s">
        <v>692</v>
      </c>
      <c r="L287" s="35">
        <v>97760</v>
      </c>
    </row>
    <row r="288" spans="1:12" x14ac:dyDescent="0.25">
      <c r="A288">
        <v>0</v>
      </c>
      <c r="B288" t="s">
        <v>244</v>
      </c>
      <c r="C288" s="18">
        <v>45658</v>
      </c>
      <c r="D288" t="str">
        <f>"8010"</f>
        <v>8010</v>
      </c>
      <c r="E288" s="18">
        <v>44926</v>
      </c>
      <c r="F288" t="s">
        <v>693</v>
      </c>
      <c r="G288" t="s">
        <v>247</v>
      </c>
      <c r="H288" t="s">
        <v>694</v>
      </c>
      <c r="L288" s="35">
        <v>8000</v>
      </c>
    </row>
    <row r="289" spans="1:12" x14ac:dyDescent="0.25">
      <c r="A289">
        <v>0</v>
      </c>
      <c r="B289" t="s">
        <v>244</v>
      </c>
      <c r="C289" s="18">
        <v>45658</v>
      </c>
      <c r="D289" t="str">
        <f>"8011"</f>
        <v>8011</v>
      </c>
      <c r="E289" s="18">
        <v>44926</v>
      </c>
      <c r="F289" t="s">
        <v>695</v>
      </c>
      <c r="G289" t="s">
        <v>247</v>
      </c>
      <c r="H289" t="s">
        <v>696</v>
      </c>
      <c r="L289" s="35">
        <v>24000</v>
      </c>
    </row>
    <row r="290" spans="1:12" x14ac:dyDescent="0.25">
      <c r="A290">
        <v>0</v>
      </c>
      <c r="B290" t="s">
        <v>244</v>
      </c>
      <c r="C290" s="18">
        <v>45658</v>
      </c>
      <c r="D290" t="str">
        <f>"8012"</f>
        <v>8012</v>
      </c>
      <c r="E290" s="18">
        <v>44926</v>
      </c>
      <c r="F290" t="s">
        <v>697</v>
      </c>
      <c r="G290" t="s">
        <v>247</v>
      </c>
      <c r="H290" t="s">
        <v>698</v>
      </c>
      <c r="L290" s="35">
        <v>29600</v>
      </c>
    </row>
    <row r="291" spans="1:12" x14ac:dyDescent="0.25">
      <c r="A291">
        <v>0</v>
      </c>
      <c r="B291" t="s">
        <v>244</v>
      </c>
      <c r="C291" s="18">
        <v>45658</v>
      </c>
      <c r="D291" t="str">
        <f>"8013"</f>
        <v>8013</v>
      </c>
      <c r="E291" s="18">
        <v>44926</v>
      </c>
      <c r="F291" t="s">
        <v>699</v>
      </c>
      <c r="G291" t="s">
        <v>247</v>
      </c>
      <c r="H291" t="s">
        <v>700</v>
      </c>
      <c r="L291" s="35">
        <v>240000</v>
      </c>
    </row>
    <row r="292" spans="1:12" x14ac:dyDescent="0.25">
      <c r="A292">
        <v>0</v>
      </c>
      <c r="B292" t="s">
        <v>244</v>
      </c>
      <c r="C292" s="18">
        <v>45658</v>
      </c>
      <c r="D292" t="str">
        <f>"8014"</f>
        <v>8014</v>
      </c>
      <c r="E292" s="18">
        <v>44926</v>
      </c>
      <c r="F292" t="str">
        <f>"19522"</f>
        <v>19522</v>
      </c>
      <c r="G292" t="s">
        <v>247</v>
      </c>
      <c r="H292" t="s">
        <v>701</v>
      </c>
      <c r="L292" s="35">
        <v>400000</v>
      </c>
    </row>
    <row r="293" spans="1:12" x14ac:dyDescent="0.25">
      <c r="A293">
        <v>0</v>
      </c>
      <c r="B293" t="s">
        <v>244</v>
      </c>
      <c r="C293" s="18">
        <v>45658</v>
      </c>
      <c r="D293" t="str">
        <f>"8015"</f>
        <v>8015</v>
      </c>
      <c r="E293" s="18">
        <v>44926</v>
      </c>
      <c r="F293" t="str">
        <f>"0279"</f>
        <v>0279</v>
      </c>
      <c r="G293" t="s">
        <v>247</v>
      </c>
      <c r="H293" t="s">
        <v>702</v>
      </c>
      <c r="L293" s="35">
        <v>320000</v>
      </c>
    </row>
    <row r="294" spans="1:12" x14ac:dyDescent="0.25">
      <c r="A294">
        <v>0</v>
      </c>
      <c r="B294" t="s">
        <v>244</v>
      </c>
      <c r="C294" s="18">
        <v>45658</v>
      </c>
      <c r="D294" t="str">
        <f>"8016"</f>
        <v>8016</v>
      </c>
      <c r="E294" s="18">
        <v>44926</v>
      </c>
      <c r="F294" t="s">
        <v>703</v>
      </c>
      <c r="G294" t="s">
        <v>247</v>
      </c>
      <c r="H294" t="s">
        <v>704</v>
      </c>
      <c r="L294" s="35">
        <v>40000</v>
      </c>
    </row>
    <row r="295" spans="1:12" x14ac:dyDescent="0.25">
      <c r="A295">
        <v>0</v>
      </c>
      <c r="B295" t="s">
        <v>244</v>
      </c>
      <c r="C295" s="18">
        <v>45658</v>
      </c>
      <c r="D295" t="str">
        <f>"8017"</f>
        <v>8017</v>
      </c>
      <c r="E295" s="18">
        <v>44926</v>
      </c>
      <c r="F295" t="s">
        <v>705</v>
      </c>
      <c r="G295" t="s">
        <v>247</v>
      </c>
      <c r="H295" t="s">
        <v>706</v>
      </c>
      <c r="L295" s="35">
        <v>110000</v>
      </c>
    </row>
    <row r="296" spans="1:12" x14ac:dyDescent="0.25">
      <c r="A296">
        <v>0</v>
      </c>
      <c r="B296" t="s">
        <v>244</v>
      </c>
      <c r="C296" s="18">
        <v>45658</v>
      </c>
      <c r="D296" t="str">
        <f>"8018"</f>
        <v>8018</v>
      </c>
      <c r="E296" s="18">
        <v>44926</v>
      </c>
      <c r="F296" t="s">
        <v>707</v>
      </c>
      <c r="G296" t="s">
        <v>247</v>
      </c>
      <c r="H296" t="s">
        <v>708</v>
      </c>
      <c r="L296" s="35">
        <v>1084240</v>
      </c>
    </row>
    <row r="297" spans="1:12" x14ac:dyDescent="0.25">
      <c r="A297">
        <v>0</v>
      </c>
      <c r="B297" t="s">
        <v>244</v>
      </c>
      <c r="C297" s="18">
        <v>45658</v>
      </c>
      <c r="D297" t="str">
        <f>"8019"</f>
        <v>8019</v>
      </c>
      <c r="E297" s="18">
        <v>44926</v>
      </c>
      <c r="F297" t="s">
        <v>709</v>
      </c>
      <c r="G297" t="s">
        <v>247</v>
      </c>
      <c r="H297" t="s">
        <v>710</v>
      </c>
      <c r="L297" s="35">
        <v>31440</v>
      </c>
    </row>
    <row r="298" spans="1:12" x14ac:dyDescent="0.25">
      <c r="A298">
        <v>0</v>
      </c>
      <c r="B298" t="s">
        <v>244</v>
      </c>
      <c r="C298" s="18">
        <v>45658</v>
      </c>
      <c r="D298" t="str">
        <f>"8020"</f>
        <v>8020</v>
      </c>
      <c r="E298" s="18">
        <v>44926</v>
      </c>
      <c r="F298" t="str">
        <f>"009598"</f>
        <v>009598</v>
      </c>
      <c r="G298" t="s">
        <v>247</v>
      </c>
      <c r="H298" t="s">
        <v>711</v>
      </c>
      <c r="L298" s="35">
        <v>47280</v>
      </c>
    </row>
    <row r="299" spans="1:12" x14ac:dyDescent="0.25">
      <c r="A299">
        <v>0</v>
      </c>
      <c r="B299" t="s">
        <v>244</v>
      </c>
      <c r="C299" s="18">
        <v>45658</v>
      </c>
      <c r="D299" t="str">
        <f>"8021"</f>
        <v>8021</v>
      </c>
      <c r="E299" s="18">
        <v>44926</v>
      </c>
      <c r="F299" t="s">
        <v>712</v>
      </c>
      <c r="G299" t="s">
        <v>247</v>
      </c>
      <c r="H299" t="s">
        <v>713</v>
      </c>
      <c r="L299" s="35">
        <v>114320</v>
      </c>
    </row>
    <row r="300" spans="1:12" x14ac:dyDescent="0.25">
      <c r="A300">
        <v>0</v>
      </c>
      <c r="B300" t="s">
        <v>244</v>
      </c>
      <c r="C300" s="18">
        <v>45658</v>
      </c>
      <c r="D300" t="str">
        <f>"8022"</f>
        <v>8022</v>
      </c>
      <c r="E300" s="18">
        <v>44926</v>
      </c>
      <c r="F300" s="18">
        <v>44872</v>
      </c>
      <c r="G300" t="s">
        <v>247</v>
      </c>
      <c r="H300" t="s">
        <v>714</v>
      </c>
      <c r="L300" s="35">
        <v>316800</v>
      </c>
    </row>
    <row r="301" spans="1:12" x14ac:dyDescent="0.25">
      <c r="A301">
        <v>0</v>
      </c>
      <c r="B301" t="s">
        <v>244</v>
      </c>
      <c r="C301" s="18">
        <v>45658</v>
      </c>
      <c r="D301" t="str">
        <f>"8023"</f>
        <v>8023</v>
      </c>
      <c r="E301" s="18">
        <v>44926</v>
      </c>
      <c r="F301" t="str">
        <f>"236412"</f>
        <v>236412</v>
      </c>
      <c r="G301" t="s">
        <v>247</v>
      </c>
      <c r="H301" t="s">
        <v>715</v>
      </c>
      <c r="L301" s="35">
        <v>45040</v>
      </c>
    </row>
    <row r="302" spans="1:12" x14ac:dyDescent="0.25">
      <c r="A302">
        <v>0</v>
      </c>
      <c r="B302" t="s">
        <v>244</v>
      </c>
      <c r="C302" s="18">
        <v>45658</v>
      </c>
      <c r="D302" t="str">
        <f>"8024"</f>
        <v>8024</v>
      </c>
      <c r="E302" s="18">
        <v>44926</v>
      </c>
      <c r="F302" t="str">
        <f>"221697"</f>
        <v>221697</v>
      </c>
      <c r="G302" t="s">
        <v>247</v>
      </c>
      <c r="H302" t="s">
        <v>716</v>
      </c>
      <c r="L302" s="35">
        <v>10560</v>
      </c>
    </row>
    <row r="303" spans="1:12" x14ac:dyDescent="0.25">
      <c r="A303">
        <v>0</v>
      </c>
      <c r="B303" t="s">
        <v>244</v>
      </c>
      <c r="C303" s="18">
        <v>45658</v>
      </c>
      <c r="D303" t="str">
        <f>"8025"</f>
        <v>8025</v>
      </c>
      <c r="E303" s="18">
        <v>44926</v>
      </c>
      <c r="F303" t="str">
        <f>"167518"</f>
        <v>167518</v>
      </c>
      <c r="G303" t="s">
        <v>247</v>
      </c>
      <c r="H303" t="s">
        <v>717</v>
      </c>
      <c r="L303" s="35">
        <v>138800</v>
      </c>
    </row>
    <row r="304" spans="1:12" x14ac:dyDescent="0.25">
      <c r="A304">
        <v>0</v>
      </c>
      <c r="B304" t="s">
        <v>250</v>
      </c>
      <c r="C304" s="18">
        <v>45869</v>
      </c>
      <c r="D304" t="str">
        <f>"8025"</f>
        <v>8025</v>
      </c>
      <c r="E304" s="18">
        <v>45869</v>
      </c>
      <c r="F304" t="s">
        <v>718</v>
      </c>
      <c r="G304" t="s">
        <v>247</v>
      </c>
      <c r="H304" t="s">
        <v>719</v>
      </c>
      <c r="L304" s="35">
        <v>347440</v>
      </c>
    </row>
    <row r="305" spans="1:12" x14ac:dyDescent="0.25">
      <c r="A305">
        <v>0</v>
      </c>
      <c r="B305" t="s">
        <v>244</v>
      </c>
      <c r="C305" s="18">
        <v>45658</v>
      </c>
      <c r="D305" t="str">
        <f>"8026"</f>
        <v>8026</v>
      </c>
      <c r="E305" s="18">
        <v>44926</v>
      </c>
      <c r="F305" t="s">
        <v>720</v>
      </c>
      <c r="G305" t="s">
        <v>247</v>
      </c>
      <c r="H305" t="s">
        <v>721</v>
      </c>
      <c r="L305" s="35">
        <v>470160</v>
      </c>
    </row>
    <row r="306" spans="1:12" x14ac:dyDescent="0.25">
      <c r="A306">
        <v>0</v>
      </c>
      <c r="B306" t="s">
        <v>244</v>
      </c>
      <c r="C306" s="18">
        <v>45658</v>
      </c>
      <c r="D306" t="str">
        <f>"8027"</f>
        <v>8027</v>
      </c>
      <c r="E306" s="18">
        <v>44926</v>
      </c>
      <c r="F306" s="32">
        <v>44866</v>
      </c>
      <c r="G306" t="s">
        <v>247</v>
      </c>
      <c r="H306" t="s">
        <v>722</v>
      </c>
      <c r="L306" s="35">
        <v>60960</v>
      </c>
    </row>
    <row r="307" spans="1:12" x14ac:dyDescent="0.25">
      <c r="A307">
        <v>0</v>
      </c>
      <c r="B307" t="s">
        <v>244</v>
      </c>
      <c r="C307" s="18">
        <v>45658</v>
      </c>
      <c r="D307" t="str">
        <f>"8028"</f>
        <v>8028</v>
      </c>
      <c r="E307" s="18">
        <v>44926</v>
      </c>
      <c r="F307" t="s">
        <v>723</v>
      </c>
      <c r="G307" t="s">
        <v>247</v>
      </c>
      <c r="H307" t="s">
        <v>724</v>
      </c>
      <c r="L307" s="35">
        <v>101280</v>
      </c>
    </row>
    <row r="308" spans="1:12" x14ac:dyDescent="0.25">
      <c r="A308">
        <v>0</v>
      </c>
      <c r="B308" t="s">
        <v>244</v>
      </c>
      <c r="C308" s="18">
        <v>45658</v>
      </c>
      <c r="D308" t="str">
        <f>"8029"</f>
        <v>8029</v>
      </c>
      <c r="E308" s="18">
        <v>44926</v>
      </c>
      <c r="F308" t="s">
        <v>725</v>
      </c>
      <c r="G308" t="s">
        <v>247</v>
      </c>
      <c r="H308" t="s">
        <v>726</v>
      </c>
      <c r="L308" s="35">
        <v>58240</v>
      </c>
    </row>
    <row r="309" spans="1:12" x14ac:dyDescent="0.25">
      <c r="A309">
        <v>0</v>
      </c>
      <c r="B309" t="s">
        <v>244</v>
      </c>
      <c r="C309" s="18">
        <v>45658</v>
      </c>
      <c r="D309" t="str">
        <f>"8030"</f>
        <v>8030</v>
      </c>
      <c r="E309" s="18">
        <v>44926</v>
      </c>
      <c r="F309" t="s">
        <v>727</v>
      </c>
      <c r="G309" t="s">
        <v>247</v>
      </c>
      <c r="H309" t="s">
        <v>728</v>
      </c>
      <c r="L309" s="35">
        <v>12000</v>
      </c>
    </row>
    <row r="310" spans="1:12" x14ac:dyDescent="0.25">
      <c r="A310">
        <v>0</v>
      </c>
      <c r="B310" t="s">
        <v>244</v>
      </c>
      <c r="C310" s="18">
        <v>45658</v>
      </c>
      <c r="D310" t="str">
        <f>"8031"</f>
        <v>8031</v>
      </c>
      <c r="E310" s="18">
        <v>44926</v>
      </c>
      <c r="F310" t="s">
        <v>729</v>
      </c>
      <c r="G310" t="s">
        <v>247</v>
      </c>
      <c r="H310" t="s">
        <v>730</v>
      </c>
      <c r="L310" s="35">
        <v>667200</v>
      </c>
    </row>
    <row r="311" spans="1:12" x14ac:dyDescent="0.25">
      <c r="A311">
        <v>0</v>
      </c>
      <c r="B311" t="s">
        <v>244</v>
      </c>
      <c r="C311" s="18">
        <v>45658</v>
      </c>
      <c r="D311" t="str">
        <f>"8032"</f>
        <v>8032</v>
      </c>
      <c r="E311" s="18">
        <v>44926</v>
      </c>
      <c r="F311" t="s">
        <v>731</v>
      </c>
      <c r="G311" t="s">
        <v>247</v>
      </c>
      <c r="H311" t="s">
        <v>732</v>
      </c>
      <c r="L311" s="35">
        <v>96000</v>
      </c>
    </row>
    <row r="312" spans="1:12" x14ac:dyDescent="0.25">
      <c r="A312">
        <v>0</v>
      </c>
      <c r="B312" t="s">
        <v>244</v>
      </c>
      <c r="C312" s="18">
        <v>45658</v>
      </c>
      <c r="D312" t="str">
        <f>"8033"</f>
        <v>8033</v>
      </c>
      <c r="E312" s="18">
        <v>45273</v>
      </c>
      <c r="F312" t="str">
        <f>"243848"</f>
        <v>243848</v>
      </c>
      <c r="G312" t="s">
        <v>247</v>
      </c>
      <c r="H312" t="s">
        <v>733</v>
      </c>
      <c r="L312" s="35">
        <v>351920</v>
      </c>
    </row>
    <row r="313" spans="1:12" x14ac:dyDescent="0.25">
      <c r="A313">
        <v>0</v>
      </c>
      <c r="B313" t="s">
        <v>244</v>
      </c>
      <c r="C313" s="18">
        <v>45658</v>
      </c>
      <c r="D313" t="str">
        <f>"8034"</f>
        <v>8034</v>
      </c>
      <c r="E313" s="18">
        <v>45286</v>
      </c>
      <c r="F313" t="s">
        <v>734</v>
      </c>
      <c r="G313" t="s">
        <v>247</v>
      </c>
      <c r="H313" t="s">
        <v>735</v>
      </c>
      <c r="L313" s="35">
        <v>92000</v>
      </c>
    </row>
    <row r="314" spans="1:12" x14ac:dyDescent="0.25">
      <c r="A314">
        <v>0</v>
      </c>
      <c r="B314" t="s">
        <v>244</v>
      </c>
      <c r="C314" s="18">
        <v>45658</v>
      </c>
      <c r="D314" t="str">
        <f>"8035"</f>
        <v>8035</v>
      </c>
      <c r="E314" s="18">
        <v>45288</v>
      </c>
      <c r="F314" t="s">
        <v>736</v>
      </c>
      <c r="G314" t="s">
        <v>247</v>
      </c>
      <c r="H314" t="s">
        <v>737</v>
      </c>
      <c r="L314" s="35">
        <v>96000</v>
      </c>
    </row>
    <row r="315" spans="1:12" x14ac:dyDescent="0.25">
      <c r="A315">
        <v>0</v>
      </c>
      <c r="B315" t="s">
        <v>244</v>
      </c>
      <c r="C315" s="18">
        <v>45658</v>
      </c>
      <c r="D315" t="str">
        <f>"8036"</f>
        <v>8036</v>
      </c>
      <c r="E315" s="18">
        <v>45288</v>
      </c>
      <c r="F315" t="s">
        <v>738</v>
      </c>
      <c r="G315" t="s">
        <v>247</v>
      </c>
      <c r="H315" t="s">
        <v>739</v>
      </c>
      <c r="L315" s="35">
        <v>165600</v>
      </c>
    </row>
    <row r="316" spans="1:12" x14ac:dyDescent="0.25">
      <c r="A316">
        <v>0</v>
      </c>
      <c r="B316" t="s">
        <v>244</v>
      </c>
      <c r="C316" s="18">
        <v>45658</v>
      </c>
      <c r="D316" t="str">
        <f>"8037"</f>
        <v>8037</v>
      </c>
      <c r="E316" s="18">
        <v>45285</v>
      </c>
      <c r="F316" t="s">
        <v>740</v>
      </c>
      <c r="G316" t="s">
        <v>247</v>
      </c>
      <c r="H316" t="s">
        <v>741</v>
      </c>
      <c r="L316" s="35">
        <v>176400</v>
      </c>
    </row>
    <row r="317" spans="1:12" x14ac:dyDescent="0.25">
      <c r="A317">
        <v>0</v>
      </c>
      <c r="B317" t="s">
        <v>244</v>
      </c>
      <c r="C317" s="18">
        <v>45658</v>
      </c>
      <c r="D317" t="str">
        <f>"8038"</f>
        <v>8038</v>
      </c>
      <c r="E317" s="18">
        <v>45285</v>
      </c>
      <c r="F317" t="s">
        <v>742</v>
      </c>
      <c r="G317" t="s">
        <v>247</v>
      </c>
      <c r="H317" t="s">
        <v>743</v>
      </c>
      <c r="L317" s="35">
        <v>1944000</v>
      </c>
    </row>
    <row r="318" spans="1:12" x14ac:dyDescent="0.25">
      <c r="A318">
        <v>0</v>
      </c>
      <c r="B318" t="s">
        <v>244</v>
      </c>
      <c r="C318" s="18">
        <v>45658</v>
      </c>
      <c r="D318" t="str">
        <f>"8039"</f>
        <v>8039</v>
      </c>
      <c r="E318" s="18">
        <v>45271</v>
      </c>
      <c r="F318" t="s">
        <v>744</v>
      </c>
      <c r="G318" t="s">
        <v>247</v>
      </c>
      <c r="H318" t="s">
        <v>745</v>
      </c>
      <c r="L318" s="35">
        <v>250800</v>
      </c>
    </row>
    <row r="319" spans="1:12" x14ac:dyDescent="0.25">
      <c r="A319">
        <v>0</v>
      </c>
      <c r="B319" t="s">
        <v>244</v>
      </c>
      <c r="C319" s="18">
        <v>45658</v>
      </c>
      <c r="D319" t="str">
        <f>"8040"</f>
        <v>8040</v>
      </c>
      <c r="E319" s="18">
        <v>44953</v>
      </c>
      <c r="F319" t="s">
        <v>746</v>
      </c>
      <c r="G319" t="s">
        <v>247</v>
      </c>
      <c r="H319" t="s">
        <v>747</v>
      </c>
      <c r="L319" s="35">
        <v>189720</v>
      </c>
    </row>
    <row r="320" spans="1:12" x14ac:dyDescent="0.25">
      <c r="A320">
        <v>0</v>
      </c>
      <c r="B320" t="s">
        <v>244</v>
      </c>
      <c r="C320" s="18">
        <v>45658</v>
      </c>
      <c r="D320" t="str">
        <f>"8041"</f>
        <v>8041</v>
      </c>
      <c r="E320" s="18">
        <v>45292</v>
      </c>
      <c r="F320" t="str">
        <f>"165724"</f>
        <v>165724</v>
      </c>
      <c r="G320" t="s">
        <v>247</v>
      </c>
      <c r="H320" t="s">
        <v>748</v>
      </c>
      <c r="L320" s="35">
        <v>45920</v>
      </c>
    </row>
    <row r="321" spans="1:13" x14ac:dyDescent="0.25">
      <c r="A321">
        <v>0</v>
      </c>
      <c r="B321" t="s">
        <v>244</v>
      </c>
      <c r="C321" s="18">
        <v>45658</v>
      </c>
      <c r="D321" t="str">
        <f>"8042"</f>
        <v>8042</v>
      </c>
      <c r="E321" s="18">
        <v>45292</v>
      </c>
      <c r="F321" t="s">
        <v>749</v>
      </c>
      <c r="G321" t="s">
        <v>247</v>
      </c>
      <c r="H321" t="s">
        <v>750</v>
      </c>
      <c r="L321" s="35">
        <v>29680</v>
      </c>
    </row>
    <row r="322" spans="1:13" x14ac:dyDescent="0.25">
      <c r="A322">
        <v>0</v>
      </c>
      <c r="B322" t="s">
        <v>244</v>
      </c>
      <c r="C322" s="18">
        <v>45658</v>
      </c>
      <c r="D322" t="str">
        <f>"8043"</f>
        <v>8043</v>
      </c>
      <c r="E322" s="18">
        <v>45292</v>
      </c>
      <c r="F322" t="s">
        <v>751</v>
      </c>
      <c r="G322" t="s">
        <v>247</v>
      </c>
      <c r="H322" t="s">
        <v>752</v>
      </c>
      <c r="L322" s="35">
        <v>8000</v>
      </c>
    </row>
    <row r="323" spans="1:13" x14ac:dyDescent="0.25">
      <c r="A323">
        <v>0</v>
      </c>
      <c r="B323" t="s">
        <v>244</v>
      </c>
      <c r="C323" s="18">
        <v>45658</v>
      </c>
      <c r="D323" t="str">
        <f>"8044"</f>
        <v>8044</v>
      </c>
      <c r="E323" s="18">
        <v>44957</v>
      </c>
      <c r="G323" t="s">
        <v>247</v>
      </c>
      <c r="H323" t="s">
        <v>753</v>
      </c>
      <c r="M323" s="35">
        <v>53381120</v>
      </c>
    </row>
    <row r="324" spans="1:13" x14ac:dyDescent="0.25">
      <c r="A324">
        <v>0</v>
      </c>
      <c r="B324" t="s">
        <v>244</v>
      </c>
      <c r="C324" s="18">
        <v>45658</v>
      </c>
      <c r="D324" t="str">
        <f>"8045"</f>
        <v>8045</v>
      </c>
      <c r="E324" s="18">
        <v>44965</v>
      </c>
      <c r="G324" t="s">
        <v>247</v>
      </c>
      <c r="H324" t="s">
        <v>754</v>
      </c>
      <c r="L324" s="35">
        <v>16951423.920000002</v>
      </c>
    </row>
    <row r="325" spans="1:13" x14ac:dyDescent="0.25">
      <c r="A325">
        <v>0</v>
      </c>
      <c r="B325" t="s">
        <v>244</v>
      </c>
      <c r="C325" s="18">
        <v>45658</v>
      </c>
      <c r="D325" t="str">
        <f>"8046"</f>
        <v>8046</v>
      </c>
      <c r="E325" s="18">
        <v>44956</v>
      </c>
      <c r="F325" t="str">
        <f>"11107"</f>
        <v>11107</v>
      </c>
      <c r="G325" t="s">
        <v>247</v>
      </c>
      <c r="H325" t="s">
        <v>755</v>
      </c>
      <c r="L325" s="35">
        <v>235756</v>
      </c>
    </row>
    <row r="326" spans="1:13" x14ac:dyDescent="0.25">
      <c r="A326">
        <v>0</v>
      </c>
      <c r="B326" t="s">
        <v>244</v>
      </c>
      <c r="C326" s="18">
        <v>45658</v>
      </c>
      <c r="D326" t="str">
        <f>"8047"</f>
        <v>8047</v>
      </c>
      <c r="E326" s="18">
        <v>44956</v>
      </c>
      <c r="F326" t="s">
        <v>756</v>
      </c>
      <c r="G326" t="s">
        <v>247</v>
      </c>
      <c r="H326" t="s">
        <v>757</v>
      </c>
      <c r="L326" s="35">
        <v>104640</v>
      </c>
    </row>
    <row r="327" spans="1:13" x14ac:dyDescent="0.25">
      <c r="A327">
        <v>0</v>
      </c>
      <c r="B327" t="s">
        <v>244</v>
      </c>
      <c r="C327" s="18">
        <v>45658</v>
      </c>
      <c r="D327" t="str">
        <f>"8048"</f>
        <v>8048</v>
      </c>
      <c r="E327" s="18">
        <v>44956</v>
      </c>
      <c r="F327" t="s">
        <v>758</v>
      </c>
      <c r="G327" t="s">
        <v>247</v>
      </c>
      <c r="H327" t="s">
        <v>759</v>
      </c>
      <c r="L327" s="35">
        <v>71920</v>
      </c>
    </row>
    <row r="328" spans="1:13" x14ac:dyDescent="0.25">
      <c r="A328">
        <v>0</v>
      </c>
      <c r="B328" t="s">
        <v>244</v>
      </c>
      <c r="C328" s="18">
        <v>45658</v>
      </c>
      <c r="D328" t="str">
        <f>"8049"</f>
        <v>8049</v>
      </c>
      <c r="E328" s="18">
        <v>44956</v>
      </c>
      <c r="F328" t="s">
        <v>760</v>
      </c>
      <c r="G328" t="s">
        <v>247</v>
      </c>
      <c r="H328" t="s">
        <v>761</v>
      </c>
      <c r="L328" s="35">
        <v>152320</v>
      </c>
    </row>
    <row r="329" spans="1:13" x14ac:dyDescent="0.25">
      <c r="A329">
        <v>0</v>
      </c>
      <c r="B329" t="s">
        <v>244</v>
      </c>
      <c r="C329" s="18">
        <v>45658</v>
      </c>
      <c r="D329" t="str">
        <f>"8050"</f>
        <v>8050</v>
      </c>
      <c r="E329" s="18">
        <v>44957</v>
      </c>
      <c r="F329" t="str">
        <f>"230018"</f>
        <v>230018</v>
      </c>
      <c r="G329" t="s">
        <v>247</v>
      </c>
      <c r="H329" t="s">
        <v>762</v>
      </c>
      <c r="L329" s="35">
        <v>14960</v>
      </c>
    </row>
    <row r="330" spans="1:13" x14ac:dyDescent="0.25">
      <c r="A330">
        <v>0</v>
      </c>
      <c r="B330" t="s">
        <v>244</v>
      </c>
      <c r="C330" s="18">
        <v>45658</v>
      </c>
      <c r="D330" t="str">
        <f>"8051"</f>
        <v>8051</v>
      </c>
      <c r="E330" s="18">
        <v>44974</v>
      </c>
      <c r="F330" t="s">
        <v>763</v>
      </c>
      <c r="G330" t="s">
        <v>247</v>
      </c>
      <c r="H330" t="s">
        <v>764</v>
      </c>
      <c r="L330" s="35">
        <v>386640</v>
      </c>
    </row>
    <row r="331" spans="1:13" x14ac:dyDescent="0.25">
      <c r="A331">
        <v>0</v>
      </c>
      <c r="B331" t="s">
        <v>244</v>
      </c>
      <c r="C331" s="18">
        <v>45658</v>
      </c>
      <c r="D331" t="str">
        <f>"8052"</f>
        <v>8052</v>
      </c>
      <c r="E331" s="18">
        <v>45285</v>
      </c>
      <c r="F331" t="s">
        <v>765</v>
      </c>
      <c r="G331" t="s">
        <v>247</v>
      </c>
      <c r="H331" t="s">
        <v>766</v>
      </c>
      <c r="L331" s="35">
        <v>153600</v>
      </c>
    </row>
    <row r="332" spans="1:13" x14ac:dyDescent="0.25">
      <c r="A332">
        <v>0</v>
      </c>
      <c r="B332" t="s">
        <v>244</v>
      </c>
      <c r="C332" s="18">
        <v>45658</v>
      </c>
      <c r="D332" t="str">
        <f>"8053"</f>
        <v>8053</v>
      </c>
      <c r="E332" s="18">
        <v>45285</v>
      </c>
      <c r="F332" t="s">
        <v>767</v>
      </c>
      <c r="G332" t="s">
        <v>247</v>
      </c>
      <c r="H332" t="s">
        <v>768</v>
      </c>
      <c r="L332" s="35">
        <v>97440</v>
      </c>
    </row>
    <row r="333" spans="1:13" x14ac:dyDescent="0.25">
      <c r="A333">
        <v>0</v>
      </c>
      <c r="B333" t="s">
        <v>244</v>
      </c>
      <c r="C333" s="18">
        <v>45658</v>
      </c>
      <c r="D333" t="str">
        <f>"8054"</f>
        <v>8054</v>
      </c>
      <c r="E333" s="18">
        <v>44956</v>
      </c>
      <c r="F333" t="s">
        <v>769</v>
      </c>
      <c r="G333" t="s">
        <v>247</v>
      </c>
      <c r="H333" t="s">
        <v>770</v>
      </c>
      <c r="L333" s="35">
        <v>372000</v>
      </c>
    </row>
    <row r="334" spans="1:13" x14ac:dyDescent="0.25">
      <c r="A334">
        <v>0</v>
      </c>
      <c r="B334" t="s">
        <v>244</v>
      </c>
      <c r="C334" s="18">
        <v>45658</v>
      </c>
      <c r="D334" t="str">
        <f>"8055"</f>
        <v>8055</v>
      </c>
      <c r="E334" s="18">
        <v>44956</v>
      </c>
      <c r="F334" t="str">
        <f>"23953"</f>
        <v>23953</v>
      </c>
      <c r="G334" t="s">
        <v>247</v>
      </c>
      <c r="H334" t="s">
        <v>771</v>
      </c>
      <c r="L334" s="35">
        <v>600000</v>
      </c>
    </row>
    <row r="335" spans="1:13" x14ac:dyDescent="0.25">
      <c r="A335">
        <v>0</v>
      </c>
      <c r="B335" t="s">
        <v>244</v>
      </c>
      <c r="C335" s="18">
        <v>45658</v>
      </c>
      <c r="D335" t="str">
        <f>"8056"</f>
        <v>8056</v>
      </c>
      <c r="E335" s="18">
        <v>44956</v>
      </c>
      <c r="F335" t="str">
        <f>"223"</f>
        <v>223</v>
      </c>
      <c r="G335" t="s">
        <v>247</v>
      </c>
      <c r="H335" t="s">
        <v>772</v>
      </c>
      <c r="L335" s="35">
        <v>200000</v>
      </c>
    </row>
    <row r="336" spans="1:13" x14ac:dyDescent="0.25">
      <c r="A336">
        <v>0</v>
      </c>
      <c r="B336" t="s">
        <v>244</v>
      </c>
      <c r="C336" s="18">
        <v>45658</v>
      </c>
      <c r="D336" t="str">
        <f>"8057"</f>
        <v>8057</v>
      </c>
      <c r="E336" s="18">
        <v>44956</v>
      </c>
      <c r="F336" t="s">
        <v>773</v>
      </c>
      <c r="G336" t="s">
        <v>247</v>
      </c>
      <c r="H336" t="s">
        <v>774</v>
      </c>
      <c r="L336" s="35">
        <v>400000</v>
      </c>
    </row>
    <row r="337" spans="1:12" x14ac:dyDescent="0.25">
      <c r="A337">
        <v>0</v>
      </c>
      <c r="B337" t="s">
        <v>244</v>
      </c>
      <c r="C337" s="18">
        <v>45658</v>
      </c>
      <c r="D337" t="str">
        <f>"8058"</f>
        <v>8058</v>
      </c>
      <c r="E337" s="18">
        <v>44981</v>
      </c>
      <c r="F337" t="s">
        <v>775</v>
      </c>
      <c r="G337" t="s">
        <v>247</v>
      </c>
      <c r="H337" t="s">
        <v>776</v>
      </c>
      <c r="L337" s="35">
        <v>619600</v>
      </c>
    </row>
    <row r="338" spans="1:12" x14ac:dyDescent="0.25">
      <c r="A338">
        <v>0</v>
      </c>
      <c r="B338" t="s">
        <v>244</v>
      </c>
      <c r="C338" s="18">
        <v>45658</v>
      </c>
      <c r="D338" t="str">
        <f>"8059"</f>
        <v>8059</v>
      </c>
      <c r="E338" s="18">
        <v>44988</v>
      </c>
      <c r="F338" t="str">
        <f>"0"</f>
        <v>0</v>
      </c>
      <c r="G338" t="s">
        <v>247</v>
      </c>
      <c r="H338" t="s">
        <v>777</v>
      </c>
      <c r="L338" s="35">
        <v>220000</v>
      </c>
    </row>
    <row r="339" spans="1:12" x14ac:dyDescent="0.25">
      <c r="A339">
        <v>0</v>
      </c>
      <c r="B339" t="s">
        <v>244</v>
      </c>
      <c r="C339" s="18">
        <v>45658</v>
      </c>
      <c r="D339" t="str">
        <f>"8060"</f>
        <v>8060</v>
      </c>
      <c r="E339" s="18">
        <v>44988</v>
      </c>
      <c r="F339" t="s">
        <v>778</v>
      </c>
      <c r="G339" t="s">
        <v>247</v>
      </c>
      <c r="H339" t="s">
        <v>779</v>
      </c>
      <c r="L339" s="35">
        <v>776560</v>
      </c>
    </row>
    <row r="340" spans="1:12" x14ac:dyDescent="0.25">
      <c r="A340">
        <v>0</v>
      </c>
      <c r="B340" t="s">
        <v>244</v>
      </c>
      <c r="C340" s="18">
        <v>45658</v>
      </c>
      <c r="D340" t="str">
        <f>"8061"</f>
        <v>8061</v>
      </c>
      <c r="E340" s="18">
        <v>44957</v>
      </c>
      <c r="F340" t="s">
        <v>780</v>
      </c>
      <c r="G340" t="s">
        <v>247</v>
      </c>
      <c r="H340" t="s">
        <v>781</v>
      </c>
      <c r="L340" s="35">
        <v>211200</v>
      </c>
    </row>
    <row r="341" spans="1:12" x14ac:dyDescent="0.25">
      <c r="A341">
        <v>0</v>
      </c>
      <c r="B341" t="s">
        <v>244</v>
      </c>
      <c r="C341" s="18">
        <v>45658</v>
      </c>
      <c r="D341" t="str">
        <f>"8062"</f>
        <v>8062</v>
      </c>
      <c r="E341" s="18">
        <v>44957</v>
      </c>
      <c r="F341" t="s">
        <v>782</v>
      </c>
      <c r="G341" t="s">
        <v>247</v>
      </c>
      <c r="H341" t="s">
        <v>783</v>
      </c>
      <c r="L341" s="35">
        <v>28000</v>
      </c>
    </row>
    <row r="342" spans="1:12" x14ac:dyDescent="0.25">
      <c r="A342">
        <v>0</v>
      </c>
      <c r="B342" t="s">
        <v>244</v>
      </c>
      <c r="C342" s="18">
        <v>45658</v>
      </c>
      <c r="D342" t="str">
        <f>"8063"</f>
        <v>8063</v>
      </c>
      <c r="E342" s="18">
        <v>44957</v>
      </c>
      <c r="F342" t="str">
        <f>"202302013"</f>
        <v>202302013</v>
      </c>
      <c r="G342" t="s">
        <v>247</v>
      </c>
      <c r="H342" t="s">
        <v>784</v>
      </c>
      <c r="L342" s="35">
        <v>24000</v>
      </c>
    </row>
    <row r="343" spans="1:12" x14ac:dyDescent="0.25">
      <c r="A343">
        <v>0</v>
      </c>
      <c r="B343" t="s">
        <v>244</v>
      </c>
      <c r="C343" s="18">
        <v>45658</v>
      </c>
      <c r="D343" t="str">
        <f>"8064"</f>
        <v>8064</v>
      </c>
      <c r="E343" s="18">
        <v>44957</v>
      </c>
      <c r="F343" t="s">
        <v>785</v>
      </c>
      <c r="G343" t="s">
        <v>247</v>
      </c>
      <c r="H343" t="s">
        <v>786</v>
      </c>
      <c r="L343" s="35">
        <v>96000</v>
      </c>
    </row>
    <row r="344" spans="1:12" x14ac:dyDescent="0.25">
      <c r="A344">
        <v>0</v>
      </c>
      <c r="B344" t="s">
        <v>244</v>
      </c>
      <c r="C344" s="18">
        <v>45658</v>
      </c>
      <c r="D344" t="str">
        <f>"8065"</f>
        <v>8065</v>
      </c>
      <c r="E344" s="18">
        <v>44957</v>
      </c>
      <c r="F344" t="str">
        <f>"504708"</f>
        <v>504708</v>
      </c>
      <c r="G344" t="s">
        <v>247</v>
      </c>
      <c r="H344" t="s">
        <v>787</v>
      </c>
      <c r="L344" s="35">
        <v>191880</v>
      </c>
    </row>
    <row r="345" spans="1:12" x14ac:dyDescent="0.25">
      <c r="A345">
        <v>0</v>
      </c>
      <c r="B345" t="s">
        <v>244</v>
      </c>
      <c r="C345" s="18">
        <v>45658</v>
      </c>
      <c r="D345" t="str">
        <f>"8066"</f>
        <v>8066</v>
      </c>
      <c r="E345" s="18">
        <v>44957</v>
      </c>
      <c r="F345" t="str">
        <f>"09"</f>
        <v>09</v>
      </c>
      <c r="G345" t="s">
        <v>247</v>
      </c>
      <c r="H345" t="s">
        <v>788</v>
      </c>
      <c r="L345" s="35">
        <v>24000</v>
      </c>
    </row>
    <row r="346" spans="1:12" x14ac:dyDescent="0.25">
      <c r="A346">
        <v>0</v>
      </c>
      <c r="B346" t="s">
        <v>244</v>
      </c>
      <c r="C346" s="18">
        <v>45658</v>
      </c>
      <c r="D346" t="str">
        <f>"8067"</f>
        <v>8067</v>
      </c>
      <c r="E346" s="18">
        <v>44957</v>
      </c>
      <c r="F346" t="s">
        <v>789</v>
      </c>
      <c r="G346" t="s">
        <v>247</v>
      </c>
      <c r="H346" t="s">
        <v>790</v>
      </c>
      <c r="L346" s="35">
        <v>250000</v>
      </c>
    </row>
    <row r="347" spans="1:12" x14ac:dyDescent="0.25">
      <c r="A347">
        <v>0</v>
      </c>
      <c r="B347" t="s">
        <v>244</v>
      </c>
      <c r="C347" s="18">
        <v>45658</v>
      </c>
      <c r="D347" t="str">
        <f>"8068"</f>
        <v>8068</v>
      </c>
      <c r="E347" s="18">
        <v>44957</v>
      </c>
      <c r="F347" t="str">
        <f>"26259"</f>
        <v>26259</v>
      </c>
      <c r="G347" t="s">
        <v>247</v>
      </c>
      <c r="H347" t="s">
        <v>791</v>
      </c>
      <c r="L347" s="35">
        <v>108800</v>
      </c>
    </row>
    <row r="348" spans="1:12" x14ac:dyDescent="0.25">
      <c r="A348">
        <v>0</v>
      </c>
      <c r="B348" t="s">
        <v>244</v>
      </c>
      <c r="C348" s="18">
        <v>45658</v>
      </c>
      <c r="D348" t="str">
        <f>"8069"</f>
        <v>8069</v>
      </c>
      <c r="E348" s="18">
        <v>44957</v>
      </c>
      <c r="F348" t="str">
        <f>"0344"</f>
        <v>0344</v>
      </c>
      <c r="G348" t="s">
        <v>247</v>
      </c>
      <c r="H348" t="s">
        <v>792</v>
      </c>
      <c r="L348" s="35">
        <v>400000</v>
      </c>
    </row>
    <row r="349" spans="1:12" x14ac:dyDescent="0.25">
      <c r="A349">
        <v>0</v>
      </c>
      <c r="B349" t="s">
        <v>244</v>
      </c>
      <c r="C349" s="18">
        <v>45658</v>
      </c>
      <c r="D349" t="str">
        <f>"8070"</f>
        <v>8070</v>
      </c>
      <c r="E349" s="18">
        <v>44957</v>
      </c>
      <c r="F349" t="str">
        <f>"335210"</f>
        <v>335210</v>
      </c>
      <c r="G349" t="s">
        <v>247</v>
      </c>
      <c r="H349" t="s">
        <v>793</v>
      </c>
      <c r="L349" s="35">
        <v>65600</v>
      </c>
    </row>
    <row r="350" spans="1:12" x14ac:dyDescent="0.25">
      <c r="A350">
        <v>0</v>
      </c>
      <c r="B350" t="s">
        <v>244</v>
      </c>
      <c r="C350" s="18">
        <v>45658</v>
      </c>
      <c r="D350" t="str">
        <f>"8071"</f>
        <v>8071</v>
      </c>
      <c r="E350" s="18">
        <v>44957</v>
      </c>
      <c r="F350" t="s">
        <v>794</v>
      </c>
      <c r="G350" t="s">
        <v>247</v>
      </c>
      <c r="H350" t="s">
        <v>795</v>
      </c>
      <c r="L350" s="35">
        <v>1600000</v>
      </c>
    </row>
    <row r="351" spans="1:12" x14ac:dyDescent="0.25">
      <c r="A351">
        <v>0</v>
      </c>
      <c r="B351" t="s">
        <v>244</v>
      </c>
      <c r="C351" s="18">
        <v>45658</v>
      </c>
      <c r="D351" t="str">
        <f>"8072"</f>
        <v>8072</v>
      </c>
      <c r="E351" s="18">
        <v>44957</v>
      </c>
      <c r="F351" t="s">
        <v>796</v>
      </c>
      <c r="G351" t="s">
        <v>247</v>
      </c>
      <c r="H351" t="s">
        <v>797</v>
      </c>
      <c r="L351" s="35">
        <v>197600</v>
      </c>
    </row>
    <row r="352" spans="1:12" x14ac:dyDescent="0.25">
      <c r="A352">
        <v>0</v>
      </c>
      <c r="B352" t="s">
        <v>244</v>
      </c>
      <c r="C352" s="18">
        <v>45658</v>
      </c>
      <c r="D352" t="str">
        <f>"8073"</f>
        <v>8073</v>
      </c>
      <c r="E352" s="18">
        <v>44957</v>
      </c>
      <c r="F352" t="s">
        <v>798</v>
      </c>
      <c r="G352" t="s">
        <v>247</v>
      </c>
      <c r="H352" t="s">
        <v>799</v>
      </c>
      <c r="L352" s="35">
        <v>199920</v>
      </c>
    </row>
    <row r="353" spans="1:12" x14ac:dyDescent="0.25">
      <c r="A353">
        <v>0</v>
      </c>
      <c r="B353" t="s">
        <v>244</v>
      </c>
      <c r="C353" s="18">
        <v>45658</v>
      </c>
      <c r="D353" t="str">
        <f>"8074"</f>
        <v>8074</v>
      </c>
      <c r="E353" s="18">
        <v>44957</v>
      </c>
      <c r="F353" t="s">
        <v>800</v>
      </c>
      <c r="G353" t="s">
        <v>247</v>
      </c>
      <c r="H353" t="s">
        <v>801</v>
      </c>
      <c r="L353" s="35">
        <v>71440</v>
      </c>
    </row>
    <row r="354" spans="1:12" x14ac:dyDescent="0.25">
      <c r="A354">
        <v>0</v>
      </c>
      <c r="B354" t="s">
        <v>244</v>
      </c>
      <c r="C354" s="18">
        <v>45658</v>
      </c>
      <c r="D354" t="str">
        <f>"8075"</f>
        <v>8075</v>
      </c>
      <c r="E354" s="18">
        <v>44957</v>
      </c>
      <c r="F354" t="s">
        <v>802</v>
      </c>
      <c r="G354" t="s">
        <v>247</v>
      </c>
      <c r="H354" t="s">
        <v>803</v>
      </c>
      <c r="L354" s="35">
        <v>23040</v>
      </c>
    </row>
    <row r="355" spans="1:12" x14ac:dyDescent="0.25">
      <c r="A355">
        <v>0</v>
      </c>
      <c r="B355" t="s">
        <v>244</v>
      </c>
      <c r="C355" s="18">
        <v>45658</v>
      </c>
      <c r="D355" t="str">
        <f>"8076"</f>
        <v>8076</v>
      </c>
      <c r="E355" s="18">
        <v>44957</v>
      </c>
      <c r="F355" s="18">
        <v>44937</v>
      </c>
      <c r="G355" t="s">
        <v>247</v>
      </c>
      <c r="H355" t="s">
        <v>804</v>
      </c>
      <c r="L355" s="35">
        <v>110000</v>
      </c>
    </row>
    <row r="356" spans="1:12" x14ac:dyDescent="0.25">
      <c r="A356">
        <v>0</v>
      </c>
      <c r="B356" t="s">
        <v>244</v>
      </c>
      <c r="C356" s="18">
        <v>45658</v>
      </c>
      <c r="D356" t="str">
        <f>"8077"</f>
        <v>8077</v>
      </c>
      <c r="E356" s="18">
        <v>44957</v>
      </c>
      <c r="F356" t="s">
        <v>805</v>
      </c>
      <c r="G356" t="s">
        <v>247</v>
      </c>
      <c r="H356" t="s">
        <v>806</v>
      </c>
      <c r="L356" s="35">
        <v>498960</v>
      </c>
    </row>
    <row r="357" spans="1:12" x14ac:dyDescent="0.25">
      <c r="A357">
        <v>0</v>
      </c>
      <c r="B357" t="s">
        <v>244</v>
      </c>
      <c r="C357" s="18">
        <v>45658</v>
      </c>
      <c r="D357" t="str">
        <f>"8078"</f>
        <v>8078</v>
      </c>
      <c r="E357" s="18">
        <v>44957</v>
      </c>
      <c r="F357" t="str">
        <f>"230008"</f>
        <v>230008</v>
      </c>
      <c r="G357" t="s">
        <v>247</v>
      </c>
      <c r="H357" t="s">
        <v>807</v>
      </c>
      <c r="L357" s="35">
        <v>110000</v>
      </c>
    </row>
    <row r="358" spans="1:12" x14ac:dyDescent="0.25">
      <c r="A358">
        <v>0</v>
      </c>
      <c r="B358" t="s">
        <v>244</v>
      </c>
      <c r="C358" s="18">
        <v>45658</v>
      </c>
      <c r="D358" t="str">
        <f>"8079"</f>
        <v>8079</v>
      </c>
      <c r="E358" s="18">
        <v>44957</v>
      </c>
      <c r="F358" t="s">
        <v>808</v>
      </c>
      <c r="G358" t="s">
        <v>247</v>
      </c>
      <c r="H358" t="s">
        <v>809</v>
      </c>
      <c r="L358" s="35">
        <v>59200</v>
      </c>
    </row>
    <row r="359" spans="1:12" x14ac:dyDescent="0.25">
      <c r="A359">
        <v>0</v>
      </c>
      <c r="B359" t="s">
        <v>244</v>
      </c>
      <c r="C359" s="18">
        <v>45658</v>
      </c>
      <c r="D359" t="str">
        <f>"8080"</f>
        <v>8080</v>
      </c>
      <c r="E359" s="18">
        <v>44957</v>
      </c>
      <c r="F359" t="s">
        <v>810</v>
      </c>
      <c r="G359" t="s">
        <v>247</v>
      </c>
      <c r="H359" t="s">
        <v>811</v>
      </c>
      <c r="L359" s="35">
        <v>331200</v>
      </c>
    </row>
    <row r="360" spans="1:12" x14ac:dyDescent="0.25">
      <c r="A360">
        <v>0</v>
      </c>
      <c r="B360" t="s">
        <v>244</v>
      </c>
      <c r="C360" s="18">
        <v>45658</v>
      </c>
      <c r="D360" t="str">
        <f>"8081"</f>
        <v>8081</v>
      </c>
      <c r="E360" s="18">
        <v>44957</v>
      </c>
      <c r="F360" t="s">
        <v>812</v>
      </c>
      <c r="G360" t="s">
        <v>247</v>
      </c>
      <c r="H360" t="s">
        <v>813</v>
      </c>
      <c r="L360" s="35">
        <v>293520</v>
      </c>
    </row>
    <row r="361" spans="1:12" x14ac:dyDescent="0.25">
      <c r="A361">
        <v>0</v>
      </c>
      <c r="B361" t="s">
        <v>244</v>
      </c>
      <c r="C361" s="18">
        <v>45658</v>
      </c>
      <c r="D361" t="str">
        <f>"8082"</f>
        <v>8082</v>
      </c>
      <c r="E361" s="18">
        <v>44957</v>
      </c>
      <c r="F361" t="s">
        <v>814</v>
      </c>
      <c r="G361" t="s">
        <v>247</v>
      </c>
      <c r="H361" t="s">
        <v>815</v>
      </c>
      <c r="L361" s="35">
        <v>32000</v>
      </c>
    </row>
    <row r="362" spans="1:12" x14ac:dyDescent="0.25">
      <c r="A362">
        <v>0</v>
      </c>
      <c r="B362" t="s">
        <v>244</v>
      </c>
      <c r="C362" s="18">
        <v>45658</v>
      </c>
      <c r="D362" t="str">
        <f>"8083"</f>
        <v>8083</v>
      </c>
      <c r="E362" s="18">
        <v>45009</v>
      </c>
      <c r="F362" t="str">
        <f>"11583"</f>
        <v>11583</v>
      </c>
      <c r="G362" t="s">
        <v>247</v>
      </c>
      <c r="H362" t="s">
        <v>816</v>
      </c>
      <c r="L362" s="35">
        <v>96000</v>
      </c>
    </row>
    <row r="363" spans="1:12" x14ac:dyDescent="0.25">
      <c r="A363">
        <v>0</v>
      </c>
      <c r="B363" t="s">
        <v>250</v>
      </c>
      <c r="C363" s="18">
        <v>45863</v>
      </c>
      <c r="D363" t="str">
        <f>"8083"</f>
        <v>8083</v>
      </c>
      <c r="E363" s="18">
        <v>45863</v>
      </c>
      <c r="F363" t="str">
        <f>"24955"</f>
        <v>24955</v>
      </c>
      <c r="G363" t="s">
        <v>247</v>
      </c>
      <c r="H363" t="s">
        <v>817</v>
      </c>
      <c r="L363" s="35">
        <v>39240</v>
      </c>
    </row>
    <row r="364" spans="1:12" x14ac:dyDescent="0.25">
      <c r="A364">
        <v>0</v>
      </c>
      <c r="B364" t="s">
        <v>244</v>
      </c>
      <c r="C364" s="18">
        <v>45658</v>
      </c>
      <c r="D364" t="str">
        <f>"8084"</f>
        <v>8084</v>
      </c>
      <c r="E364" s="18">
        <v>45009</v>
      </c>
      <c r="F364" t="str">
        <f>"11584"</f>
        <v>11584</v>
      </c>
      <c r="G364" t="s">
        <v>247</v>
      </c>
      <c r="H364" t="s">
        <v>818</v>
      </c>
      <c r="L364" s="35">
        <v>110000</v>
      </c>
    </row>
    <row r="365" spans="1:12" x14ac:dyDescent="0.25">
      <c r="A365">
        <v>0</v>
      </c>
      <c r="B365" t="s">
        <v>244</v>
      </c>
      <c r="C365" s="18">
        <v>45658</v>
      </c>
      <c r="D365" t="str">
        <f>"8085"</f>
        <v>8085</v>
      </c>
      <c r="E365" s="18">
        <v>44995</v>
      </c>
      <c r="F365" t="s">
        <v>819</v>
      </c>
      <c r="G365" t="s">
        <v>247</v>
      </c>
      <c r="H365" t="s">
        <v>820</v>
      </c>
      <c r="L365" s="35">
        <v>26000</v>
      </c>
    </row>
    <row r="366" spans="1:12" x14ac:dyDescent="0.25">
      <c r="A366">
        <v>0</v>
      </c>
      <c r="B366" t="s">
        <v>244</v>
      </c>
      <c r="C366" s="18">
        <v>45658</v>
      </c>
      <c r="D366" t="str">
        <f>"8086"</f>
        <v>8086</v>
      </c>
      <c r="E366" s="18">
        <v>44995</v>
      </c>
      <c r="F366" t="str">
        <f>"238281"</f>
        <v>238281</v>
      </c>
      <c r="G366" t="s">
        <v>247</v>
      </c>
      <c r="H366" t="s">
        <v>821</v>
      </c>
      <c r="L366" s="35">
        <v>13760</v>
      </c>
    </row>
    <row r="367" spans="1:12" x14ac:dyDescent="0.25">
      <c r="A367">
        <v>0</v>
      </c>
      <c r="B367" t="s">
        <v>244</v>
      </c>
      <c r="C367" s="18">
        <v>45658</v>
      </c>
      <c r="D367" t="str">
        <f>"8087"</f>
        <v>8087</v>
      </c>
      <c r="E367" s="18">
        <v>44995</v>
      </c>
      <c r="F367" t="s">
        <v>822</v>
      </c>
      <c r="G367" t="s">
        <v>247</v>
      </c>
      <c r="H367" t="s">
        <v>823</v>
      </c>
      <c r="L367" s="35">
        <v>144240</v>
      </c>
    </row>
    <row r="368" spans="1:12" x14ac:dyDescent="0.25">
      <c r="A368">
        <v>0</v>
      </c>
      <c r="B368" t="s">
        <v>244</v>
      </c>
      <c r="C368" s="18">
        <v>45658</v>
      </c>
      <c r="D368" t="str">
        <f>"8088"</f>
        <v>8088</v>
      </c>
      <c r="E368" s="18">
        <v>44995</v>
      </c>
      <c r="F368" t="s">
        <v>824</v>
      </c>
      <c r="G368" t="s">
        <v>247</v>
      </c>
      <c r="H368" t="s">
        <v>825</v>
      </c>
      <c r="L368" s="35">
        <v>85600</v>
      </c>
    </row>
    <row r="369" spans="1:12" x14ac:dyDescent="0.25">
      <c r="A369">
        <v>0</v>
      </c>
      <c r="B369" t="s">
        <v>244</v>
      </c>
      <c r="C369" s="18">
        <v>45658</v>
      </c>
      <c r="D369" t="str">
        <f>"8089"</f>
        <v>8089</v>
      </c>
      <c r="E369" s="18">
        <v>45010</v>
      </c>
      <c r="F369" t="s">
        <v>826</v>
      </c>
      <c r="G369" t="s">
        <v>247</v>
      </c>
      <c r="H369" t="s">
        <v>827</v>
      </c>
      <c r="L369" s="35">
        <v>37920</v>
      </c>
    </row>
    <row r="370" spans="1:12" x14ac:dyDescent="0.25">
      <c r="A370">
        <v>0</v>
      </c>
      <c r="B370" t="s">
        <v>244</v>
      </c>
      <c r="C370" s="18">
        <v>45658</v>
      </c>
      <c r="D370" t="str">
        <f t="shared" ref="D370:D379" si="8">"8090"</f>
        <v>8090</v>
      </c>
      <c r="E370" s="18">
        <v>44985</v>
      </c>
      <c r="F370" t="s">
        <v>828</v>
      </c>
      <c r="G370" t="s">
        <v>247</v>
      </c>
      <c r="H370" t="s">
        <v>829</v>
      </c>
      <c r="L370" s="35">
        <v>250000</v>
      </c>
    </row>
    <row r="371" spans="1:12" x14ac:dyDescent="0.25">
      <c r="A371">
        <v>0</v>
      </c>
      <c r="B371" t="s">
        <v>250</v>
      </c>
      <c r="C371" s="18">
        <v>45869</v>
      </c>
      <c r="D371" t="str">
        <f t="shared" si="8"/>
        <v>8090</v>
      </c>
      <c r="E371" s="18">
        <v>45869</v>
      </c>
      <c r="F371" t="s">
        <v>830</v>
      </c>
      <c r="G371" t="s">
        <v>247</v>
      </c>
      <c r="H371" t="s">
        <v>831</v>
      </c>
      <c r="L371" s="35">
        <v>35440</v>
      </c>
    </row>
    <row r="372" spans="1:12" x14ac:dyDescent="0.25">
      <c r="A372">
        <v>0</v>
      </c>
      <c r="B372" t="s">
        <v>250</v>
      </c>
      <c r="C372" s="18">
        <v>45869</v>
      </c>
      <c r="D372" t="str">
        <f t="shared" si="8"/>
        <v>8090</v>
      </c>
      <c r="E372" s="18">
        <v>45869</v>
      </c>
      <c r="F372" t="s">
        <v>832</v>
      </c>
      <c r="G372" t="s">
        <v>247</v>
      </c>
      <c r="H372" t="s">
        <v>833</v>
      </c>
      <c r="L372" s="35">
        <v>143920</v>
      </c>
    </row>
    <row r="373" spans="1:12" x14ac:dyDescent="0.25">
      <c r="A373">
        <v>0</v>
      </c>
      <c r="B373" t="s">
        <v>250</v>
      </c>
      <c r="C373" s="18">
        <v>45869</v>
      </c>
      <c r="D373" t="str">
        <f t="shared" si="8"/>
        <v>8090</v>
      </c>
      <c r="E373" s="18">
        <v>45869</v>
      </c>
      <c r="F373" t="s">
        <v>834</v>
      </c>
      <c r="G373" t="s">
        <v>247</v>
      </c>
      <c r="H373" t="s">
        <v>835</v>
      </c>
      <c r="L373" s="35">
        <v>772400</v>
      </c>
    </row>
    <row r="374" spans="1:12" x14ac:dyDescent="0.25">
      <c r="A374">
        <v>0</v>
      </c>
      <c r="B374" t="s">
        <v>250</v>
      </c>
      <c r="C374" s="18">
        <v>45869</v>
      </c>
      <c r="D374" t="str">
        <f t="shared" si="8"/>
        <v>8090</v>
      </c>
      <c r="E374" s="18">
        <v>45869</v>
      </c>
      <c r="F374" t="str">
        <f>"005228"</f>
        <v>005228</v>
      </c>
      <c r="G374" t="s">
        <v>247</v>
      </c>
      <c r="H374" t="s">
        <v>836</v>
      </c>
      <c r="L374" s="35">
        <v>66880</v>
      </c>
    </row>
    <row r="375" spans="1:12" x14ac:dyDescent="0.25">
      <c r="A375">
        <v>0</v>
      </c>
      <c r="B375" t="s">
        <v>250</v>
      </c>
      <c r="C375" s="18">
        <v>45869</v>
      </c>
      <c r="D375" t="str">
        <f t="shared" si="8"/>
        <v>8090</v>
      </c>
      <c r="E375" s="18">
        <v>45869</v>
      </c>
      <c r="F375" t="s">
        <v>837</v>
      </c>
      <c r="G375" t="s">
        <v>247</v>
      </c>
      <c r="H375" t="s">
        <v>838</v>
      </c>
      <c r="L375" s="35">
        <v>30800</v>
      </c>
    </row>
    <row r="376" spans="1:12" x14ac:dyDescent="0.25">
      <c r="A376">
        <v>0</v>
      </c>
      <c r="B376" t="s">
        <v>250</v>
      </c>
      <c r="C376" s="18">
        <v>45869</v>
      </c>
      <c r="D376" t="str">
        <f t="shared" si="8"/>
        <v>8090</v>
      </c>
      <c r="E376" s="18">
        <v>45869</v>
      </c>
      <c r="F376" t="str">
        <f>"250641"</f>
        <v>250641</v>
      </c>
      <c r="G376" t="s">
        <v>247</v>
      </c>
      <c r="H376" t="s">
        <v>839</v>
      </c>
      <c r="L376" s="35">
        <v>41520</v>
      </c>
    </row>
    <row r="377" spans="1:12" x14ac:dyDescent="0.25">
      <c r="A377">
        <v>0</v>
      </c>
      <c r="B377" t="s">
        <v>250</v>
      </c>
      <c r="C377" s="18">
        <v>45869</v>
      </c>
      <c r="D377" t="str">
        <f t="shared" si="8"/>
        <v>8090</v>
      </c>
      <c r="E377" s="18">
        <v>45869</v>
      </c>
      <c r="F377" t="s">
        <v>840</v>
      </c>
      <c r="G377" t="s">
        <v>247</v>
      </c>
      <c r="H377" t="s">
        <v>841</v>
      </c>
      <c r="L377" s="35">
        <v>41760</v>
      </c>
    </row>
    <row r="378" spans="1:12" x14ac:dyDescent="0.25">
      <c r="A378">
        <v>0</v>
      </c>
      <c r="B378" t="s">
        <v>250</v>
      </c>
      <c r="C378" s="18">
        <v>45869</v>
      </c>
      <c r="D378" t="str">
        <f t="shared" si="8"/>
        <v>8090</v>
      </c>
      <c r="E378" s="18">
        <v>45869</v>
      </c>
      <c r="F378" t="s">
        <v>842</v>
      </c>
      <c r="G378" t="s">
        <v>247</v>
      </c>
      <c r="H378" t="s">
        <v>843</v>
      </c>
      <c r="L378" s="35">
        <v>34720</v>
      </c>
    </row>
    <row r="379" spans="1:12" x14ac:dyDescent="0.25">
      <c r="A379">
        <v>0</v>
      </c>
      <c r="B379" t="s">
        <v>250</v>
      </c>
      <c r="C379" s="18">
        <v>45869</v>
      </c>
      <c r="D379" t="str">
        <f t="shared" si="8"/>
        <v>8090</v>
      </c>
      <c r="E379" s="18">
        <v>45869</v>
      </c>
      <c r="F379" t="s">
        <v>844</v>
      </c>
      <c r="G379" t="s">
        <v>247</v>
      </c>
      <c r="H379" t="s">
        <v>845</v>
      </c>
      <c r="L379" s="35">
        <v>30960</v>
      </c>
    </row>
    <row r="380" spans="1:12" x14ac:dyDescent="0.25">
      <c r="A380">
        <v>0</v>
      </c>
      <c r="B380" t="s">
        <v>244</v>
      </c>
      <c r="C380" s="18">
        <v>45658</v>
      </c>
      <c r="D380" t="str">
        <f>"8091"</f>
        <v>8091</v>
      </c>
      <c r="E380" s="18">
        <v>44985</v>
      </c>
      <c r="F380" t="s">
        <v>846</v>
      </c>
      <c r="G380" t="s">
        <v>247</v>
      </c>
      <c r="H380" t="s">
        <v>847</v>
      </c>
      <c r="L380" s="35">
        <v>72000</v>
      </c>
    </row>
    <row r="381" spans="1:12" x14ac:dyDescent="0.25">
      <c r="A381">
        <v>0</v>
      </c>
      <c r="B381" t="s">
        <v>244</v>
      </c>
      <c r="C381" s="18">
        <v>45658</v>
      </c>
      <c r="D381" t="str">
        <f>"8092"</f>
        <v>8092</v>
      </c>
      <c r="E381" s="18">
        <v>44985</v>
      </c>
      <c r="F381" t="s">
        <v>848</v>
      </c>
      <c r="G381" t="s">
        <v>247</v>
      </c>
      <c r="H381" t="s">
        <v>849</v>
      </c>
      <c r="L381" s="35">
        <v>8000</v>
      </c>
    </row>
    <row r="382" spans="1:12" x14ac:dyDescent="0.25">
      <c r="A382">
        <v>0</v>
      </c>
      <c r="B382" t="s">
        <v>244</v>
      </c>
      <c r="C382" s="18">
        <v>45658</v>
      </c>
      <c r="D382" t="str">
        <f>"8093"</f>
        <v>8093</v>
      </c>
      <c r="E382" s="18">
        <v>44985</v>
      </c>
      <c r="F382" t="s">
        <v>850</v>
      </c>
      <c r="G382" t="s">
        <v>247</v>
      </c>
      <c r="H382" t="s">
        <v>851</v>
      </c>
      <c r="L382" s="35">
        <v>888000</v>
      </c>
    </row>
    <row r="383" spans="1:12" x14ac:dyDescent="0.25">
      <c r="A383">
        <v>0</v>
      </c>
      <c r="B383" t="s">
        <v>244</v>
      </c>
      <c r="C383" s="18">
        <v>45658</v>
      </c>
      <c r="D383" t="str">
        <f>"8094"</f>
        <v>8094</v>
      </c>
      <c r="E383" s="18">
        <v>44985</v>
      </c>
      <c r="F383" t="s">
        <v>852</v>
      </c>
      <c r="G383" t="s">
        <v>247</v>
      </c>
      <c r="H383" t="s">
        <v>853</v>
      </c>
      <c r="L383" s="35">
        <v>187200</v>
      </c>
    </row>
    <row r="384" spans="1:12" x14ac:dyDescent="0.25">
      <c r="A384">
        <v>0</v>
      </c>
      <c r="B384" t="s">
        <v>244</v>
      </c>
      <c r="C384" s="18">
        <v>45658</v>
      </c>
      <c r="D384" t="str">
        <f>"8095"</f>
        <v>8095</v>
      </c>
      <c r="E384" s="18">
        <v>44985</v>
      </c>
      <c r="F384" t="s">
        <v>854</v>
      </c>
      <c r="G384" t="s">
        <v>247</v>
      </c>
      <c r="H384" t="s">
        <v>855</v>
      </c>
      <c r="L384" s="35">
        <v>250000</v>
      </c>
    </row>
    <row r="385" spans="1:12" x14ac:dyDescent="0.25">
      <c r="A385">
        <v>0</v>
      </c>
      <c r="B385" t="s">
        <v>244</v>
      </c>
      <c r="C385" s="18">
        <v>45658</v>
      </c>
      <c r="D385" t="str">
        <f>"8096"</f>
        <v>8096</v>
      </c>
      <c r="E385" s="18">
        <v>44985</v>
      </c>
      <c r="F385" t="s">
        <v>856</v>
      </c>
      <c r="G385" t="s">
        <v>247</v>
      </c>
      <c r="H385" t="s">
        <v>857</v>
      </c>
      <c r="L385" s="35">
        <v>120000</v>
      </c>
    </row>
    <row r="386" spans="1:12" x14ac:dyDescent="0.25">
      <c r="A386">
        <v>0</v>
      </c>
      <c r="B386" t="s">
        <v>244</v>
      </c>
      <c r="C386" s="18">
        <v>45658</v>
      </c>
      <c r="D386" t="str">
        <f>"8097"</f>
        <v>8097</v>
      </c>
      <c r="E386" s="18">
        <v>44985</v>
      </c>
      <c r="F386" t="s">
        <v>858</v>
      </c>
      <c r="G386" t="s">
        <v>247</v>
      </c>
      <c r="H386" t="s">
        <v>859</v>
      </c>
      <c r="L386" s="35">
        <v>42480</v>
      </c>
    </row>
    <row r="387" spans="1:12" x14ac:dyDescent="0.25">
      <c r="A387">
        <v>0</v>
      </c>
      <c r="B387" t="s">
        <v>244</v>
      </c>
      <c r="C387" s="18">
        <v>45658</v>
      </c>
      <c r="D387" t="str">
        <f>"8098"</f>
        <v>8098</v>
      </c>
      <c r="E387" s="18">
        <v>44985</v>
      </c>
      <c r="F387" t="str">
        <f>"8207"</f>
        <v>8207</v>
      </c>
      <c r="G387" t="s">
        <v>247</v>
      </c>
      <c r="H387" t="s">
        <v>860</v>
      </c>
      <c r="L387" s="35">
        <v>22960</v>
      </c>
    </row>
    <row r="388" spans="1:12" x14ac:dyDescent="0.25">
      <c r="A388">
        <v>0</v>
      </c>
      <c r="B388" t="s">
        <v>244</v>
      </c>
      <c r="C388" s="18">
        <v>45658</v>
      </c>
      <c r="D388" t="str">
        <f>"8099"</f>
        <v>8099</v>
      </c>
      <c r="E388" s="18">
        <v>44985</v>
      </c>
      <c r="F388" t="s">
        <v>861</v>
      </c>
      <c r="G388" t="s">
        <v>247</v>
      </c>
      <c r="H388" t="s">
        <v>862</v>
      </c>
      <c r="L388" s="35">
        <v>28560</v>
      </c>
    </row>
    <row r="389" spans="1:12" x14ac:dyDescent="0.25">
      <c r="A389">
        <v>0</v>
      </c>
      <c r="B389" t="s">
        <v>244</v>
      </c>
      <c r="C389" s="18">
        <v>45658</v>
      </c>
      <c r="D389" t="str">
        <f>"8100"</f>
        <v>8100</v>
      </c>
      <c r="E389" s="18">
        <v>45016</v>
      </c>
      <c r="F389" t="s">
        <v>863</v>
      </c>
      <c r="G389" t="s">
        <v>247</v>
      </c>
      <c r="H389" t="s">
        <v>864</v>
      </c>
      <c r="L389" s="35">
        <v>252640</v>
      </c>
    </row>
    <row r="390" spans="1:12" x14ac:dyDescent="0.25">
      <c r="A390">
        <v>0</v>
      </c>
      <c r="B390" t="s">
        <v>244</v>
      </c>
      <c r="C390" s="18">
        <v>45658</v>
      </c>
      <c r="D390" t="str">
        <f>"8101"</f>
        <v>8101</v>
      </c>
      <c r="E390" t="str">
        <f>"00013015"</f>
        <v>00013015</v>
      </c>
      <c r="G390" t="s">
        <v>247</v>
      </c>
      <c r="H390" t="s">
        <v>865</v>
      </c>
      <c r="L390" s="35">
        <v>16631804.65</v>
      </c>
    </row>
    <row r="391" spans="1:12" x14ac:dyDescent="0.25">
      <c r="A391">
        <v>0</v>
      </c>
      <c r="B391" t="s">
        <v>244</v>
      </c>
      <c r="C391" s="18">
        <v>45658</v>
      </c>
      <c r="D391" t="str">
        <f>"8102"</f>
        <v>8102</v>
      </c>
      <c r="E391" s="18">
        <v>45016</v>
      </c>
      <c r="F391" t="s">
        <v>866</v>
      </c>
      <c r="G391" t="s">
        <v>247</v>
      </c>
      <c r="H391" t="s">
        <v>867</v>
      </c>
      <c r="L391" s="35">
        <v>131280</v>
      </c>
    </row>
    <row r="392" spans="1:12" x14ac:dyDescent="0.25">
      <c r="A392">
        <v>0</v>
      </c>
      <c r="B392" t="s">
        <v>244</v>
      </c>
      <c r="C392" s="18">
        <v>45658</v>
      </c>
      <c r="D392" t="str">
        <f>"8103"</f>
        <v>8103</v>
      </c>
      <c r="E392" s="18">
        <v>45044</v>
      </c>
      <c r="F392" t="s">
        <v>868</v>
      </c>
      <c r="G392" t="s">
        <v>247</v>
      </c>
      <c r="H392" t="s">
        <v>869</v>
      </c>
      <c r="L392" s="35">
        <v>72000</v>
      </c>
    </row>
    <row r="393" spans="1:12" x14ac:dyDescent="0.25">
      <c r="A393">
        <v>0</v>
      </c>
      <c r="B393" t="s">
        <v>244</v>
      </c>
      <c r="C393" s="18">
        <v>45658</v>
      </c>
      <c r="D393" t="str">
        <f>"8104"</f>
        <v>8104</v>
      </c>
      <c r="E393" s="18">
        <v>45044</v>
      </c>
      <c r="F393" t="str">
        <f>"519949"</f>
        <v>519949</v>
      </c>
      <c r="G393" t="s">
        <v>247</v>
      </c>
      <c r="H393" t="s">
        <v>870</v>
      </c>
      <c r="L393" s="35">
        <v>63960</v>
      </c>
    </row>
    <row r="394" spans="1:12" x14ac:dyDescent="0.25">
      <c r="A394">
        <v>0</v>
      </c>
      <c r="B394" t="s">
        <v>244</v>
      </c>
      <c r="C394" s="18">
        <v>45658</v>
      </c>
      <c r="D394" t="str">
        <f>"8105"</f>
        <v>8105</v>
      </c>
      <c r="E394" s="18">
        <v>45044</v>
      </c>
      <c r="F394" t="s">
        <v>871</v>
      </c>
      <c r="G394" t="s">
        <v>247</v>
      </c>
      <c r="H394" t="s">
        <v>872</v>
      </c>
      <c r="L394" s="35">
        <v>8000</v>
      </c>
    </row>
    <row r="395" spans="1:12" x14ac:dyDescent="0.25">
      <c r="A395">
        <v>0</v>
      </c>
      <c r="B395" t="s">
        <v>244</v>
      </c>
      <c r="C395" s="18">
        <v>45658</v>
      </c>
      <c r="D395" t="str">
        <f>"8106"</f>
        <v>8106</v>
      </c>
      <c r="E395" s="18">
        <v>45044</v>
      </c>
      <c r="F395" t="s">
        <v>873</v>
      </c>
      <c r="G395" t="s">
        <v>247</v>
      </c>
      <c r="H395" t="s">
        <v>874</v>
      </c>
      <c r="L395" s="35">
        <v>56000</v>
      </c>
    </row>
    <row r="396" spans="1:12" x14ac:dyDescent="0.25">
      <c r="A396">
        <v>0</v>
      </c>
      <c r="B396" t="s">
        <v>244</v>
      </c>
      <c r="C396" s="18">
        <v>45658</v>
      </c>
      <c r="D396" t="str">
        <f>"8107"</f>
        <v>8107</v>
      </c>
      <c r="E396" s="18">
        <v>45044</v>
      </c>
      <c r="F396" t="s">
        <v>875</v>
      </c>
      <c r="G396" t="s">
        <v>247</v>
      </c>
      <c r="H396" t="s">
        <v>876</v>
      </c>
      <c r="L396" s="35">
        <v>85600</v>
      </c>
    </row>
    <row r="397" spans="1:12" x14ac:dyDescent="0.25">
      <c r="A397">
        <v>0</v>
      </c>
      <c r="B397" t="s">
        <v>244</v>
      </c>
      <c r="C397" s="18">
        <v>45658</v>
      </c>
      <c r="D397" t="str">
        <f>"8108"</f>
        <v>8108</v>
      </c>
      <c r="E397" s="18">
        <v>45044</v>
      </c>
      <c r="F397" t="s">
        <v>877</v>
      </c>
      <c r="G397" t="s">
        <v>247</v>
      </c>
      <c r="H397" t="s">
        <v>878</v>
      </c>
      <c r="L397" s="35">
        <v>240000</v>
      </c>
    </row>
    <row r="398" spans="1:12" x14ac:dyDescent="0.25">
      <c r="A398">
        <v>0</v>
      </c>
      <c r="B398" t="s">
        <v>244</v>
      </c>
      <c r="C398" s="18">
        <v>45658</v>
      </c>
      <c r="D398" t="str">
        <f>"8109"</f>
        <v>8109</v>
      </c>
      <c r="E398" s="18">
        <v>45044</v>
      </c>
      <c r="F398" t="s">
        <v>879</v>
      </c>
      <c r="G398" t="s">
        <v>247</v>
      </c>
      <c r="H398" t="s">
        <v>880</v>
      </c>
      <c r="L398" s="35">
        <v>250000</v>
      </c>
    </row>
    <row r="399" spans="1:12" x14ac:dyDescent="0.25">
      <c r="A399">
        <v>0</v>
      </c>
      <c r="B399" t="s">
        <v>244</v>
      </c>
      <c r="C399" s="18">
        <v>45658</v>
      </c>
      <c r="D399" t="str">
        <f>"8110"</f>
        <v>8110</v>
      </c>
      <c r="E399" s="18">
        <v>45044</v>
      </c>
      <c r="F399" t="s">
        <v>881</v>
      </c>
      <c r="G399" t="s">
        <v>247</v>
      </c>
      <c r="H399" t="s">
        <v>882</v>
      </c>
      <c r="L399" s="35">
        <v>123200</v>
      </c>
    </row>
    <row r="400" spans="1:12" x14ac:dyDescent="0.25">
      <c r="A400">
        <v>0</v>
      </c>
      <c r="B400" t="s">
        <v>244</v>
      </c>
      <c r="C400" s="18">
        <v>45658</v>
      </c>
      <c r="D400" t="str">
        <f>"8111"</f>
        <v>8111</v>
      </c>
      <c r="E400" s="18">
        <v>45044</v>
      </c>
      <c r="F400" t="str">
        <f>"29334"</f>
        <v>29334</v>
      </c>
      <c r="G400" t="s">
        <v>247</v>
      </c>
      <c r="H400" t="s">
        <v>883</v>
      </c>
      <c r="L400" s="35">
        <v>200000</v>
      </c>
    </row>
    <row r="401" spans="1:12" x14ac:dyDescent="0.25">
      <c r="A401">
        <v>0</v>
      </c>
      <c r="B401" t="s">
        <v>244</v>
      </c>
      <c r="C401" s="18">
        <v>45658</v>
      </c>
      <c r="D401" t="str">
        <f>"8112"</f>
        <v>8112</v>
      </c>
      <c r="E401" s="18">
        <v>45044</v>
      </c>
      <c r="F401" t="str">
        <f>"338606"</f>
        <v>338606</v>
      </c>
      <c r="G401" t="s">
        <v>247</v>
      </c>
      <c r="H401" t="s">
        <v>884</v>
      </c>
      <c r="L401" s="35">
        <v>65600</v>
      </c>
    </row>
    <row r="402" spans="1:12" x14ac:dyDescent="0.25">
      <c r="A402">
        <v>0</v>
      </c>
      <c r="B402" t="s">
        <v>244</v>
      </c>
      <c r="C402" s="18">
        <v>45658</v>
      </c>
      <c r="D402" t="str">
        <f>"8113"</f>
        <v>8113</v>
      </c>
      <c r="E402" s="18">
        <v>45044</v>
      </c>
      <c r="F402" t="s">
        <v>885</v>
      </c>
      <c r="G402" t="s">
        <v>247</v>
      </c>
      <c r="H402" t="s">
        <v>886</v>
      </c>
      <c r="L402" s="35">
        <v>30160</v>
      </c>
    </row>
    <row r="403" spans="1:12" x14ac:dyDescent="0.25">
      <c r="A403">
        <v>0</v>
      </c>
      <c r="B403" t="s">
        <v>244</v>
      </c>
      <c r="C403" s="18">
        <v>45658</v>
      </c>
      <c r="D403" t="str">
        <f>"8114"</f>
        <v>8114</v>
      </c>
      <c r="E403" s="18">
        <v>45044</v>
      </c>
      <c r="F403" t="s">
        <v>887</v>
      </c>
      <c r="G403" t="s">
        <v>247</v>
      </c>
      <c r="H403" t="s">
        <v>888</v>
      </c>
      <c r="L403" s="35">
        <v>30800</v>
      </c>
    </row>
    <row r="404" spans="1:12" x14ac:dyDescent="0.25">
      <c r="A404">
        <v>0</v>
      </c>
      <c r="B404" t="s">
        <v>244</v>
      </c>
      <c r="C404" s="18">
        <v>45658</v>
      </c>
      <c r="D404" t="str">
        <f>"8115"</f>
        <v>8115</v>
      </c>
      <c r="E404" s="18">
        <v>45044</v>
      </c>
      <c r="F404" t="s">
        <v>889</v>
      </c>
      <c r="G404" t="s">
        <v>247</v>
      </c>
      <c r="H404" t="s">
        <v>890</v>
      </c>
      <c r="L404" s="35">
        <v>38400</v>
      </c>
    </row>
    <row r="405" spans="1:12" x14ac:dyDescent="0.25">
      <c r="A405">
        <v>0</v>
      </c>
      <c r="B405" t="s">
        <v>244</v>
      </c>
      <c r="C405" s="18">
        <v>45658</v>
      </c>
      <c r="D405" t="str">
        <f>"8116"</f>
        <v>8116</v>
      </c>
      <c r="E405" s="18">
        <v>45044</v>
      </c>
      <c r="F405" s="32">
        <v>44986</v>
      </c>
      <c r="G405" t="s">
        <v>247</v>
      </c>
      <c r="H405" t="s">
        <v>891</v>
      </c>
      <c r="L405" s="35">
        <v>22960</v>
      </c>
    </row>
    <row r="406" spans="1:12" x14ac:dyDescent="0.25">
      <c r="A406">
        <v>0</v>
      </c>
      <c r="B406" t="s">
        <v>244</v>
      </c>
      <c r="C406" s="18">
        <v>45658</v>
      </c>
      <c r="D406" t="str">
        <f>"8117"</f>
        <v>8117</v>
      </c>
      <c r="E406" s="18">
        <v>45044</v>
      </c>
      <c r="F406" t="s">
        <v>892</v>
      </c>
      <c r="G406" t="s">
        <v>247</v>
      </c>
      <c r="H406" t="s">
        <v>893</v>
      </c>
      <c r="L406" s="35">
        <v>118400</v>
      </c>
    </row>
    <row r="407" spans="1:12" x14ac:dyDescent="0.25">
      <c r="A407">
        <v>0</v>
      </c>
      <c r="B407" t="s">
        <v>244</v>
      </c>
      <c r="C407" s="18">
        <v>45658</v>
      </c>
      <c r="D407" t="str">
        <f>"8118"</f>
        <v>8118</v>
      </c>
      <c r="E407" s="18">
        <v>45044</v>
      </c>
      <c r="F407" t="s">
        <v>894</v>
      </c>
      <c r="G407" t="s">
        <v>247</v>
      </c>
      <c r="H407" t="s">
        <v>895</v>
      </c>
      <c r="L407" s="35">
        <v>12000</v>
      </c>
    </row>
    <row r="408" spans="1:12" x14ac:dyDescent="0.25">
      <c r="A408">
        <v>0</v>
      </c>
      <c r="B408" t="s">
        <v>244</v>
      </c>
      <c r="C408" s="18">
        <v>45658</v>
      </c>
      <c r="D408" t="str">
        <f>"8119"</f>
        <v>8119</v>
      </c>
      <c r="E408" s="18">
        <v>45044</v>
      </c>
      <c r="F408" t="s">
        <v>896</v>
      </c>
      <c r="G408" t="s">
        <v>247</v>
      </c>
      <c r="H408" t="s">
        <v>897</v>
      </c>
      <c r="L408" s="35">
        <v>183200</v>
      </c>
    </row>
    <row r="409" spans="1:12" x14ac:dyDescent="0.25">
      <c r="A409">
        <v>0</v>
      </c>
      <c r="B409" t="s">
        <v>244</v>
      </c>
      <c r="C409" s="18">
        <v>45658</v>
      </c>
      <c r="D409" t="str">
        <f>"8120"</f>
        <v>8120</v>
      </c>
      <c r="E409" s="18">
        <v>45044</v>
      </c>
      <c r="F409" t="s">
        <v>898</v>
      </c>
      <c r="G409" t="s">
        <v>247</v>
      </c>
      <c r="H409" t="s">
        <v>899</v>
      </c>
      <c r="L409" s="35">
        <v>32000</v>
      </c>
    </row>
    <row r="410" spans="1:12" x14ac:dyDescent="0.25">
      <c r="A410">
        <v>0</v>
      </c>
      <c r="B410" t="s">
        <v>244</v>
      </c>
      <c r="C410" s="18">
        <v>45658</v>
      </c>
      <c r="D410" t="str">
        <f>"8121"</f>
        <v>8121</v>
      </c>
      <c r="E410" s="18">
        <v>45058</v>
      </c>
      <c r="F410" t="str">
        <f>"11962"</f>
        <v>11962</v>
      </c>
      <c r="G410" t="s">
        <v>247</v>
      </c>
      <c r="H410" t="s">
        <v>900</v>
      </c>
      <c r="L410" s="35">
        <v>136000</v>
      </c>
    </row>
    <row r="411" spans="1:12" x14ac:dyDescent="0.25">
      <c r="A411">
        <v>0</v>
      </c>
      <c r="B411" t="s">
        <v>244</v>
      </c>
      <c r="C411" s="18">
        <v>45658</v>
      </c>
      <c r="D411" t="str">
        <f>"8122"</f>
        <v>8122</v>
      </c>
      <c r="E411" s="18">
        <v>45072</v>
      </c>
      <c r="F411" s="18">
        <v>45054</v>
      </c>
      <c r="G411" t="s">
        <v>247</v>
      </c>
      <c r="H411" t="s">
        <v>901</v>
      </c>
      <c r="L411" s="35">
        <v>248000</v>
      </c>
    </row>
    <row r="412" spans="1:12" x14ac:dyDescent="0.25">
      <c r="A412">
        <v>0</v>
      </c>
      <c r="B412" t="s">
        <v>244</v>
      </c>
      <c r="C412" s="18">
        <v>45658</v>
      </c>
      <c r="D412" t="str">
        <f>"8123"</f>
        <v>8123</v>
      </c>
      <c r="E412" s="18">
        <v>45072</v>
      </c>
      <c r="F412" t="str">
        <f>"448"</f>
        <v>448</v>
      </c>
      <c r="G412" t="s">
        <v>247</v>
      </c>
      <c r="H412" t="s">
        <v>902</v>
      </c>
      <c r="L412" s="35">
        <v>200000</v>
      </c>
    </row>
    <row r="413" spans="1:12" x14ac:dyDescent="0.25">
      <c r="A413">
        <v>0</v>
      </c>
      <c r="B413" t="s">
        <v>244</v>
      </c>
      <c r="C413" s="18">
        <v>45658</v>
      </c>
      <c r="D413" t="str">
        <f>"8124"</f>
        <v>8124</v>
      </c>
      <c r="E413" s="18">
        <v>45072</v>
      </c>
      <c r="F413" t="s">
        <v>903</v>
      </c>
      <c r="G413" t="s">
        <v>247</v>
      </c>
      <c r="H413" t="s">
        <v>904</v>
      </c>
      <c r="L413" s="35">
        <v>44800</v>
      </c>
    </row>
    <row r="414" spans="1:12" x14ac:dyDescent="0.25">
      <c r="A414">
        <v>0</v>
      </c>
      <c r="B414" t="s">
        <v>244</v>
      </c>
      <c r="C414" s="18">
        <v>45658</v>
      </c>
      <c r="D414" t="str">
        <f>"8125"</f>
        <v>8125</v>
      </c>
      <c r="E414" s="18">
        <v>45072</v>
      </c>
      <c r="F414" t="s">
        <v>905</v>
      </c>
      <c r="G414" t="s">
        <v>247</v>
      </c>
      <c r="H414" t="s">
        <v>906</v>
      </c>
      <c r="L414" s="35">
        <v>171440</v>
      </c>
    </row>
    <row r="415" spans="1:12" x14ac:dyDescent="0.25">
      <c r="A415">
        <v>0</v>
      </c>
      <c r="B415" t="s">
        <v>244</v>
      </c>
      <c r="C415" s="18">
        <v>45658</v>
      </c>
      <c r="D415" t="str">
        <f>"8126"</f>
        <v>8126</v>
      </c>
      <c r="E415" s="18">
        <v>45072</v>
      </c>
      <c r="F415" t="s">
        <v>907</v>
      </c>
      <c r="G415" t="s">
        <v>247</v>
      </c>
      <c r="H415" t="s">
        <v>908</v>
      </c>
      <c r="L415" s="35">
        <v>1389680</v>
      </c>
    </row>
    <row r="416" spans="1:12" x14ac:dyDescent="0.25">
      <c r="A416">
        <v>0</v>
      </c>
      <c r="B416" t="s">
        <v>244</v>
      </c>
      <c r="C416" s="18">
        <v>45658</v>
      </c>
      <c r="D416" t="str">
        <f>"8127"</f>
        <v>8127</v>
      </c>
      <c r="E416" s="18">
        <v>45072</v>
      </c>
      <c r="F416" t="s">
        <v>909</v>
      </c>
      <c r="G416" t="s">
        <v>247</v>
      </c>
      <c r="H416" t="s">
        <v>910</v>
      </c>
      <c r="L416" s="35">
        <v>96320</v>
      </c>
    </row>
    <row r="417" spans="1:12" x14ac:dyDescent="0.25">
      <c r="A417">
        <v>0</v>
      </c>
      <c r="B417" t="s">
        <v>244</v>
      </c>
      <c r="C417" s="18">
        <v>45658</v>
      </c>
      <c r="D417" t="str">
        <f>"8128"</f>
        <v>8128</v>
      </c>
      <c r="E417" s="18">
        <v>45072</v>
      </c>
      <c r="F417" t="s">
        <v>911</v>
      </c>
      <c r="G417" t="s">
        <v>247</v>
      </c>
      <c r="H417" t="s">
        <v>912</v>
      </c>
      <c r="L417" s="35">
        <v>68160</v>
      </c>
    </row>
    <row r="418" spans="1:12" x14ac:dyDescent="0.25">
      <c r="A418">
        <v>0</v>
      </c>
      <c r="B418" t="s">
        <v>244</v>
      </c>
      <c r="C418" s="18">
        <v>45658</v>
      </c>
      <c r="D418" t="str">
        <f>"8129"</f>
        <v>8129</v>
      </c>
      <c r="E418" s="18">
        <v>45072</v>
      </c>
      <c r="F418" t="s">
        <v>913</v>
      </c>
      <c r="G418" t="s">
        <v>247</v>
      </c>
      <c r="H418" t="s">
        <v>914</v>
      </c>
      <c r="L418" s="35">
        <v>40640</v>
      </c>
    </row>
    <row r="419" spans="1:12" x14ac:dyDescent="0.25">
      <c r="A419">
        <v>0</v>
      </c>
      <c r="B419" t="s">
        <v>244</v>
      </c>
      <c r="C419" s="18">
        <v>45658</v>
      </c>
      <c r="D419" t="str">
        <f>"8130"</f>
        <v>8130</v>
      </c>
      <c r="E419" s="18">
        <v>45072</v>
      </c>
      <c r="F419" t="s">
        <v>915</v>
      </c>
      <c r="G419" t="s">
        <v>247</v>
      </c>
      <c r="H419" t="s">
        <v>916</v>
      </c>
      <c r="L419" s="35">
        <v>118480</v>
      </c>
    </row>
    <row r="420" spans="1:12" x14ac:dyDescent="0.25">
      <c r="A420">
        <v>0</v>
      </c>
      <c r="B420" t="s">
        <v>244</v>
      </c>
      <c r="C420" s="18">
        <v>45658</v>
      </c>
      <c r="D420" t="str">
        <f>"8131"</f>
        <v>8131</v>
      </c>
      <c r="E420" s="18">
        <v>45072</v>
      </c>
      <c r="F420" t="s">
        <v>917</v>
      </c>
      <c r="G420" t="s">
        <v>247</v>
      </c>
      <c r="H420" t="s">
        <v>918</v>
      </c>
      <c r="L420" s="35">
        <v>32000</v>
      </c>
    </row>
    <row r="421" spans="1:12" x14ac:dyDescent="0.25">
      <c r="A421">
        <v>0</v>
      </c>
      <c r="B421" t="s">
        <v>244</v>
      </c>
      <c r="C421" s="18">
        <v>45658</v>
      </c>
      <c r="D421" t="str">
        <f>"8132"</f>
        <v>8132</v>
      </c>
      <c r="E421" s="18">
        <v>45066</v>
      </c>
      <c r="F421" t="s">
        <v>919</v>
      </c>
      <c r="G421" t="s">
        <v>247</v>
      </c>
      <c r="H421" t="s">
        <v>920</v>
      </c>
      <c r="L421" s="35">
        <v>77600</v>
      </c>
    </row>
    <row r="422" spans="1:12" x14ac:dyDescent="0.25">
      <c r="A422">
        <v>0</v>
      </c>
      <c r="B422" t="s">
        <v>244</v>
      </c>
      <c r="C422" s="18">
        <v>45658</v>
      </c>
      <c r="D422" t="str">
        <f>"8133"</f>
        <v>8133</v>
      </c>
      <c r="E422" s="18">
        <v>45066</v>
      </c>
      <c r="F422" t="s">
        <v>921</v>
      </c>
      <c r="G422" t="s">
        <v>247</v>
      </c>
      <c r="H422" t="s">
        <v>922</v>
      </c>
      <c r="L422" s="35">
        <v>16000</v>
      </c>
    </row>
    <row r="423" spans="1:12" x14ac:dyDescent="0.25">
      <c r="A423">
        <v>0</v>
      </c>
      <c r="B423" t="s">
        <v>244</v>
      </c>
      <c r="C423" s="18">
        <v>45658</v>
      </c>
      <c r="D423" t="str">
        <f>"8134"</f>
        <v>8134</v>
      </c>
      <c r="E423" s="18">
        <v>45065</v>
      </c>
      <c r="F423" s="33">
        <v>45028</v>
      </c>
      <c r="G423" t="s">
        <v>247</v>
      </c>
      <c r="H423" t="s">
        <v>923</v>
      </c>
      <c r="L423" s="35">
        <v>24000</v>
      </c>
    </row>
    <row r="424" spans="1:12" x14ac:dyDescent="0.25">
      <c r="A424">
        <v>0</v>
      </c>
      <c r="B424" t="s">
        <v>244</v>
      </c>
      <c r="C424" s="18">
        <v>45658</v>
      </c>
      <c r="D424" t="str">
        <f>"8135"</f>
        <v>8135</v>
      </c>
      <c r="E424" s="18">
        <v>45065</v>
      </c>
      <c r="F424" t="s">
        <v>924</v>
      </c>
      <c r="G424" t="s">
        <v>247</v>
      </c>
      <c r="H424" t="s">
        <v>925</v>
      </c>
      <c r="L424" s="35">
        <v>347440</v>
      </c>
    </row>
    <row r="425" spans="1:12" x14ac:dyDescent="0.25">
      <c r="A425">
        <v>0</v>
      </c>
      <c r="B425" t="s">
        <v>244</v>
      </c>
      <c r="C425" s="18">
        <v>45658</v>
      </c>
      <c r="D425" t="str">
        <f>"8136"</f>
        <v>8136</v>
      </c>
      <c r="E425" s="18">
        <v>45051</v>
      </c>
      <c r="F425" t="s">
        <v>926</v>
      </c>
      <c r="G425" t="s">
        <v>247</v>
      </c>
      <c r="H425" t="s">
        <v>927</v>
      </c>
      <c r="L425" s="35">
        <v>771680</v>
      </c>
    </row>
    <row r="426" spans="1:12" x14ac:dyDescent="0.25">
      <c r="A426">
        <v>0</v>
      </c>
      <c r="B426" t="s">
        <v>244</v>
      </c>
      <c r="C426" s="18">
        <v>45658</v>
      </c>
      <c r="D426" t="str">
        <f>"8137"</f>
        <v>8137</v>
      </c>
      <c r="E426" s="18">
        <v>45079</v>
      </c>
      <c r="F426" t="str">
        <f>"13061"</f>
        <v>13061</v>
      </c>
      <c r="G426" t="s">
        <v>247</v>
      </c>
      <c r="H426" t="s">
        <v>928</v>
      </c>
      <c r="L426" s="35">
        <v>200000</v>
      </c>
    </row>
    <row r="427" spans="1:12" x14ac:dyDescent="0.25">
      <c r="A427">
        <v>0</v>
      </c>
      <c r="B427" t="s">
        <v>244</v>
      </c>
      <c r="C427" s="18">
        <v>45658</v>
      </c>
      <c r="D427" t="str">
        <f>"8138"</f>
        <v>8138</v>
      </c>
      <c r="E427" s="18">
        <v>45079</v>
      </c>
      <c r="F427" t="str">
        <f>"13063"</f>
        <v>13063</v>
      </c>
      <c r="G427" t="s">
        <v>247</v>
      </c>
      <c r="H427" t="s">
        <v>929</v>
      </c>
      <c r="L427" s="35">
        <v>160000</v>
      </c>
    </row>
    <row r="428" spans="1:12" x14ac:dyDescent="0.25">
      <c r="A428">
        <v>0</v>
      </c>
      <c r="B428" t="s">
        <v>244</v>
      </c>
      <c r="C428" s="18">
        <v>45658</v>
      </c>
      <c r="D428" t="str">
        <f>"8139"</f>
        <v>8139</v>
      </c>
      <c r="E428" s="18">
        <v>45079</v>
      </c>
      <c r="F428" t="str">
        <f>"13062"</f>
        <v>13062</v>
      </c>
      <c r="G428" t="s">
        <v>247</v>
      </c>
      <c r="H428" t="s">
        <v>930</v>
      </c>
      <c r="L428" s="35">
        <v>124000</v>
      </c>
    </row>
    <row r="429" spans="1:12" x14ac:dyDescent="0.25">
      <c r="A429">
        <v>0</v>
      </c>
      <c r="B429" t="s">
        <v>244</v>
      </c>
      <c r="C429" s="18">
        <v>45658</v>
      </c>
      <c r="D429" t="str">
        <f>"8140"</f>
        <v>8140</v>
      </c>
      <c r="E429" s="18">
        <v>45094</v>
      </c>
      <c r="F429" t="s">
        <v>931</v>
      </c>
      <c r="G429" t="s">
        <v>247</v>
      </c>
      <c r="H429" t="s">
        <v>932</v>
      </c>
      <c r="L429" s="35">
        <v>50000</v>
      </c>
    </row>
    <row r="430" spans="1:12" x14ac:dyDescent="0.25">
      <c r="A430">
        <v>0</v>
      </c>
      <c r="B430" t="s">
        <v>244</v>
      </c>
      <c r="C430" s="18">
        <v>45658</v>
      </c>
      <c r="D430" t="str">
        <f>"8141"</f>
        <v>8141</v>
      </c>
      <c r="E430" s="18">
        <v>45094</v>
      </c>
      <c r="F430" t="s">
        <v>933</v>
      </c>
      <c r="G430" t="s">
        <v>247</v>
      </c>
      <c r="H430" t="s">
        <v>934</v>
      </c>
      <c r="L430" s="35">
        <v>28000</v>
      </c>
    </row>
    <row r="431" spans="1:12" x14ac:dyDescent="0.25">
      <c r="A431">
        <v>0</v>
      </c>
      <c r="B431" t="s">
        <v>244</v>
      </c>
      <c r="C431" s="18">
        <v>45658</v>
      </c>
      <c r="D431" t="str">
        <f>"8142"</f>
        <v>8142</v>
      </c>
      <c r="E431" s="18">
        <v>45094</v>
      </c>
      <c r="F431" t="s">
        <v>935</v>
      </c>
      <c r="G431" t="s">
        <v>247</v>
      </c>
      <c r="H431" t="s">
        <v>936</v>
      </c>
      <c r="L431" s="35">
        <v>72000</v>
      </c>
    </row>
    <row r="432" spans="1:12" x14ac:dyDescent="0.25">
      <c r="A432">
        <v>0</v>
      </c>
      <c r="B432" t="s">
        <v>244</v>
      </c>
      <c r="C432" s="18">
        <v>45658</v>
      </c>
      <c r="D432" t="str">
        <f>"8143"</f>
        <v>8143</v>
      </c>
      <c r="E432" s="18">
        <v>45094</v>
      </c>
      <c r="F432" t="s">
        <v>937</v>
      </c>
      <c r="G432" t="s">
        <v>247</v>
      </c>
      <c r="H432" t="s">
        <v>938</v>
      </c>
      <c r="L432" s="35">
        <v>8000</v>
      </c>
    </row>
    <row r="433" spans="1:12" x14ac:dyDescent="0.25">
      <c r="A433">
        <v>0</v>
      </c>
      <c r="B433" t="s">
        <v>244</v>
      </c>
      <c r="C433" s="18">
        <v>45658</v>
      </c>
      <c r="D433" t="str">
        <f>"8144"</f>
        <v>8144</v>
      </c>
      <c r="E433" s="18">
        <v>45094</v>
      </c>
      <c r="F433" t="s">
        <v>939</v>
      </c>
      <c r="G433" t="s">
        <v>247</v>
      </c>
      <c r="H433" t="s">
        <v>940</v>
      </c>
      <c r="L433" s="35">
        <v>112000</v>
      </c>
    </row>
    <row r="434" spans="1:12" x14ac:dyDescent="0.25">
      <c r="A434">
        <v>0</v>
      </c>
      <c r="B434" t="s">
        <v>244</v>
      </c>
      <c r="C434" s="18">
        <v>45658</v>
      </c>
      <c r="D434" t="str">
        <f>"8145"</f>
        <v>8145</v>
      </c>
      <c r="E434" s="18">
        <v>45094</v>
      </c>
      <c r="F434" t="s">
        <v>941</v>
      </c>
      <c r="G434" t="s">
        <v>247</v>
      </c>
      <c r="H434" t="s">
        <v>942</v>
      </c>
      <c r="L434" s="35">
        <v>29600</v>
      </c>
    </row>
    <row r="435" spans="1:12" x14ac:dyDescent="0.25">
      <c r="A435">
        <v>0</v>
      </c>
      <c r="B435" t="s">
        <v>244</v>
      </c>
      <c r="C435" s="18">
        <v>45658</v>
      </c>
      <c r="D435" t="str">
        <f>"8146"</f>
        <v>8146</v>
      </c>
      <c r="E435" s="18">
        <v>45094</v>
      </c>
      <c r="F435" t="s">
        <v>943</v>
      </c>
      <c r="G435" t="s">
        <v>247</v>
      </c>
      <c r="H435" t="s">
        <v>944</v>
      </c>
      <c r="L435" s="35">
        <v>250000</v>
      </c>
    </row>
    <row r="436" spans="1:12" x14ac:dyDescent="0.25">
      <c r="A436">
        <v>0</v>
      </c>
      <c r="B436" t="s">
        <v>244</v>
      </c>
      <c r="C436" s="18">
        <v>45658</v>
      </c>
      <c r="D436" t="str">
        <f>"8147"</f>
        <v>8147</v>
      </c>
      <c r="E436" s="18">
        <v>45094</v>
      </c>
      <c r="F436" t="s">
        <v>945</v>
      </c>
      <c r="G436" t="s">
        <v>247</v>
      </c>
      <c r="H436" t="s">
        <v>946</v>
      </c>
      <c r="L436" s="35">
        <v>1887300</v>
      </c>
    </row>
    <row r="437" spans="1:12" x14ac:dyDescent="0.25">
      <c r="A437">
        <v>0</v>
      </c>
      <c r="B437" t="s">
        <v>244</v>
      </c>
      <c r="C437" s="18">
        <v>45658</v>
      </c>
      <c r="D437" t="str">
        <f>"8148"</f>
        <v>8148</v>
      </c>
      <c r="E437" s="18">
        <v>45094</v>
      </c>
      <c r="F437" s="32">
        <v>45017</v>
      </c>
      <c r="G437" t="s">
        <v>247</v>
      </c>
      <c r="H437" t="s">
        <v>947</v>
      </c>
      <c r="L437" s="35">
        <v>40000</v>
      </c>
    </row>
    <row r="438" spans="1:12" x14ac:dyDescent="0.25">
      <c r="A438">
        <v>0</v>
      </c>
      <c r="B438" t="s">
        <v>244</v>
      </c>
      <c r="C438" s="18">
        <v>45658</v>
      </c>
      <c r="D438" t="str">
        <f>"8149"</f>
        <v>8149</v>
      </c>
      <c r="E438" s="18">
        <v>45094</v>
      </c>
      <c r="F438" t="s">
        <v>948</v>
      </c>
      <c r="G438" t="s">
        <v>247</v>
      </c>
      <c r="H438" t="s">
        <v>949</v>
      </c>
      <c r="L438" s="35">
        <v>84480</v>
      </c>
    </row>
    <row r="439" spans="1:12" x14ac:dyDescent="0.25">
      <c r="A439">
        <v>0</v>
      </c>
      <c r="B439" t="s">
        <v>244</v>
      </c>
      <c r="C439" s="18">
        <v>45658</v>
      </c>
      <c r="D439" t="str">
        <f>"8150"</f>
        <v>8150</v>
      </c>
      <c r="E439" s="18">
        <v>45094</v>
      </c>
      <c r="F439" t="s">
        <v>950</v>
      </c>
      <c r="G439" t="s">
        <v>247</v>
      </c>
      <c r="H439" t="s">
        <v>951</v>
      </c>
      <c r="L439" s="35">
        <v>220800</v>
      </c>
    </row>
    <row r="440" spans="1:12" x14ac:dyDescent="0.25">
      <c r="A440">
        <v>0</v>
      </c>
      <c r="B440" t="s">
        <v>244</v>
      </c>
      <c r="C440" s="18">
        <v>45658</v>
      </c>
      <c r="D440" t="str">
        <f>"8151"</f>
        <v>8151</v>
      </c>
      <c r="E440" s="18">
        <v>45094</v>
      </c>
      <c r="F440" t="s">
        <v>952</v>
      </c>
      <c r="G440" t="s">
        <v>247</v>
      </c>
      <c r="H440" t="s">
        <v>953</v>
      </c>
      <c r="L440" s="35">
        <v>330400</v>
      </c>
    </row>
    <row r="441" spans="1:12" x14ac:dyDescent="0.25">
      <c r="A441">
        <v>0</v>
      </c>
      <c r="B441" t="s">
        <v>244</v>
      </c>
      <c r="C441" s="18">
        <v>45658</v>
      </c>
      <c r="D441" t="str">
        <f>"8152"</f>
        <v>8152</v>
      </c>
      <c r="E441" s="18">
        <v>45094</v>
      </c>
      <c r="F441" t="s">
        <v>954</v>
      </c>
      <c r="G441" t="s">
        <v>247</v>
      </c>
      <c r="H441" t="s">
        <v>955</v>
      </c>
      <c r="L441" s="35">
        <v>8000</v>
      </c>
    </row>
    <row r="442" spans="1:12" x14ac:dyDescent="0.25">
      <c r="A442">
        <v>0</v>
      </c>
      <c r="B442" t="s">
        <v>244</v>
      </c>
      <c r="C442" s="18">
        <v>45658</v>
      </c>
      <c r="D442" t="str">
        <f>"8153"</f>
        <v>8153</v>
      </c>
      <c r="E442" s="18">
        <v>45094</v>
      </c>
      <c r="F442" t="s">
        <v>956</v>
      </c>
      <c r="G442" t="s">
        <v>247</v>
      </c>
      <c r="H442" t="s">
        <v>957</v>
      </c>
      <c r="L442" s="35">
        <v>311920</v>
      </c>
    </row>
    <row r="443" spans="1:12" x14ac:dyDescent="0.25">
      <c r="A443">
        <v>0</v>
      </c>
      <c r="B443" t="s">
        <v>244</v>
      </c>
      <c r="C443" s="18">
        <v>45658</v>
      </c>
      <c r="D443" t="str">
        <f>"8154"</f>
        <v>8154</v>
      </c>
      <c r="E443" s="18">
        <v>45094</v>
      </c>
      <c r="F443" t="s">
        <v>958</v>
      </c>
      <c r="G443" t="s">
        <v>247</v>
      </c>
      <c r="H443" t="s">
        <v>959</v>
      </c>
      <c r="L443" s="35">
        <v>87440</v>
      </c>
    </row>
    <row r="444" spans="1:12" x14ac:dyDescent="0.25">
      <c r="A444">
        <v>0</v>
      </c>
      <c r="B444" t="s">
        <v>244</v>
      </c>
      <c r="C444" s="18">
        <v>45658</v>
      </c>
      <c r="D444" t="str">
        <f>"8155"</f>
        <v>8155</v>
      </c>
      <c r="E444" s="18">
        <v>45094</v>
      </c>
      <c r="F444" t="s">
        <v>960</v>
      </c>
      <c r="G444" t="s">
        <v>247</v>
      </c>
      <c r="H444" t="s">
        <v>961</v>
      </c>
      <c r="L444" s="35">
        <v>12000</v>
      </c>
    </row>
    <row r="445" spans="1:12" x14ac:dyDescent="0.25">
      <c r="A445">
        <v>0</v>
      </c>
      <c r="B445" t="s">
        <v>244</v>
      </c>
      <c r="C445" s="18">
        <v>45658</v>
      </c>
      <c r="D445" t="str">
        <f>"8156"</f>
        <v>8156</v>
      </c>
      <c r="E445" s="18">
        <v>45092</v>
      </c>
      <c r="F445" t="str">
        <f>"31731"</f>
        <v>31731</v>
      </c>
      <c r="G445" t="s">
        <v>247</v>
      </c>
      <c r="H445" t="s">
        <v>962</v>
      </c>
      <c r="L445" s="35">
        <v>153600</v>
      </c>
    </row>
    <row r="446" spans="1:12" x14ac:dyDescent="0.25">
      <c r="A446">
        <v>0</v>
      </c>
      <c r="B446" t="s">
        <v>244</v>
      </c>
      <c r="C446" s="18">
        <v>45658</v>
      </c>
      <c r="D446" t="str">
        <f>"8157"</f>
        <v>8157</v>
      </c>
      <c r="E446" s="18">
        <v>45093</v>
      </c>
      <c r="F446" t="s">
        <v>963</v>
      </c>
      <c r="G446" t="s">
        <v>247</v>
      </c>
      <c r="H446" t="s">
        <v>964</v>
      </c>
      <c r="L446" s="35">
        <v>76800</v>
      </c>
    </row>
    <row r="447" spans="1:12" x14ac:dyDescent="0.25">
      <c r="A447">
        <v>0</v>
      </c>
      <c r="B447" t="s">
        <v>244</v>
      </c>
      <c r="C447" s="18">
        <v>45658</v>
      </c>
      <c r="D447" t="str">
        <f>"8158"</f>
        <v>8158</v>
      </c>
      <c r="E447" s="18">
        <v>45108</v>
      </c>
      <c r="F447" t="str">
        <f>"202304063"</f>
        <v>202304063</v>
      </c>
      <c r="G447" t="s">
        <v>247</v>
      </c>
      <c r="H447" t="s">
        <v>965</v>
      </c>
      <c r="L447" s="35">
        <v>12000</v>
      </c>
    </row>
    <row r="448" spans="1:12" x14ac:dyDescent="0.25">
      <c r="A448">
        <v>0</v>
      </c>
      <c r="B448" t="s">
        <v>244</v>
      </c>
      <c r="C448" s="18">
        <v>45658</v>
      </c>
      <c r="D448" t="str">
        <f>"8159"</f>
        <v>8159</v>
      </c>
      <c r="E448" s="18">
        <v>45108</v>
      </c>
      <c r="F448" s="18">
        <v>45005</v>
      </c>
      <c r="G448" t="s">
        <v>247</v>
      </c>
      <c r="H448" t="s">
        <v>966</v>
      </c>
      <c r="L448" s="35">
        <v>41600</v>
      </c>
    </row>
    <row r="449" spans="1:12" x14ac:dyDescent="0.25">
      <c r="A449">
        <v>0</v>
      </c>
      <c r="B449" t="s">
        <v>250</v>
      </c>
      <c r="C449" s="18">
        <v>45863</v>
      </c>
      <c r="D449" t="str">
        <f>"8159"</f>
        <v>8159</v>
      </c>
      <c r="E449" s="18">
        <v>45863</v>
      </c>
      <c r="F449" t="str">
        <f>"25020"</f>
        <v>25020</v>
      </c>
      <c r="G449" t="s">
        <v>247</v>
      </c>
      <c r="H449" t="s">
        <v>613</v>
      </c>
      <c r="L449" s="35">
        <v>28000</v>
      </c>
    </row>
    <row r="450" spans="1:12" x14ac:dyDescent="0.25">
      <c r="A450">
        <v>0</v>
      </c>
      <c r="B450" t="s">
        <v>244</v>
      </c>
      <c r="C450" s="18">
        <v>45658</v>
      </c>
      <c r="D450" t="str">
        <f>"8160"</f>
        <v>8160</v>
      </c>
      <c r="E450" s="18">
        <v>45094</v>
      </c>
      <c r="F450" t="str">
        <f>"024"</f>
        <v>024</v>
      </c>
      <c r="G450" t="s">
        <v>247</v>
      </c>
      <c r="H450" t="s">
        <v>967</v>
      </c>
      <c r="L450" s="35">
        <v>52000</v>
      </c>
    </row>
    <row r="451" spans="1:12" x14ac:dyDescent="0.25">
      <c r="A451">
        <v>0</v>
      </c>
      <c r="B451" t="s">
        <v>244</v>
      </c>
      <c r="C451" s="18">
        <v>45658</v>
      </c>
      <c r="D451" t="str">
        <f>"8161"</f>
        <v>8161</v>
      </c>
      <c r="E451" s="18">
        <v>45115</v>
      </c>
      <c r="F451" t="str">
        <f>"13383"</f>
        <v>13383</v>
      </c>
      <c r="G451" t="s">
        <v>247</v>
      </c>
      <c r="H451" t="s">
        <v>968</v>
      </c>
      <c r="L451" s="35">
        <v>262432</v>
      </c>
    </row>
    <row r="452" spans="1:12" x14ac:dyDescent="0.25">
      <c r="A452">
        <v>0</v>
      </c>
      <c r="B452" t="s">
        <v>244</v>
      </c>
      <c r="C452" s="18">
        <v>45658</v>
      </c>
      <c r="D452" t="str">
        <f>"8162"</f>
        <v>8162</v>
      </c>
      <c r="E452" s="18">
        <v>45129</v>
      </c>
      <c r="F452" t="str">
        <f>"0022845"</f>
        <v>0022845</v>
      </c>
      <c r="G452" t="s">
        <v>247</v>
      </c>
      <c r="H452" t="s">
        <v>969</v>
      </c>
      <c r="L452" s="35">
        <v>183196</v>
      </c>
    </row>
    <row r="453" spans="1:12" x14ac:dyDescent="0.25">
      <c r="A453">
        <v>0</v>
      </c>
      <c r="B453" t="s">
        <v>244</v>
      </c>
      <c r="C453" s="18">
        <v>45658</v>
      </c>
      <c r="D453" t="str">
        <f>"8163"</f>
        <v>8163</v>
      </c>
      <c r="E453" s="18">
        <v>45129</v>
      </c>
      <c r="F453" t="s">
        <v>970</v>
      </c>
      <c r="G453" t="s">
        <v>247</v>
      </c>
      <c r="H453" t="s">
        <v>971</v>
      </c>
      <c r="L453" s="35">
        <v>726480</v>
      </c>
    </row>
    <row r="454" spans="1:12" x14ac:dyDescent="0.25">
      <c r="A454">
        <v>0</v>
      </c>
      <c r="B454" t="s">
        <v>244</v>
      </c>
      <c r="C454" s="18">
        <v>45658</v>
      </c>
      <c r="D454" t="str">
        <f>"8164"</f>
        <v>8164</v>
      </c>
      <c r="E454" s="18">
        <v>45129</v>
      </c>
      <c r="F454" t="s">
        <v>972</v>
      </c>
      <c r="G454" t="s">
        <v>247</v>
      </c>
      <c r="H454" t="s">
        <v>973</v>
      </c>
      <c r="L454" s="35">
        <v>771280</v>
      </c>
    </row>
    <row r="455" spans="1:12" x14ac:dyDescent="0.25">
      <c r="A455">
        <v>0</v>
      </c>
      <c r="B455" t="s">
        <v>244</v>
      </c>
      <c r="C455" s="18">
        <v>45658</v>
      </c>
      <c r="D455" t="str">
        <f>"8165"</f>
        <v>8165</v>
      </c>
      <c r="E455" s="18">
        <v>45129</v>
      </c>
      <c r="F455" t="s">
        <v>974</v>
      </c>
      <c r="G455" t="s">
        <v>247</v>
      </c>
      <c r="H455" t="s">
        <v>975</v>
      </c>
      <c r="L455" s="35">
        <v>282800</v>
      </c>
    </row>
    <row r="456" spans="1:12" x14ac:dyDescent="0.25">
      <c r="A456">
        <v>0</v>
      </c>
      <c r="B456" t="s">
        <v>244</v>
      </c>
      <c r="C456" s="18">
        <v>45658</v>
      </c>
      <c r="D456" t="str">
        <f>"8166"</f>
        <v>8166</v>
      </c>
      <c r="E456" s="18">
        <v>45129</v>
      </c>
      <c r="F456" t="str">
        <f>"274964"</f>
        <v>274964</v>
      </c>
      <c r="G456" t="s">
        <v>247</v>
      </c>
      <c r="H456" t="s">
        <v>976</v>
      </c>
      <c r="L456" s="35">
        <v>75760</v>
      </c>
    </row>
    <row r="457" spans="1:12" x14ac:dyDescent="0.25">
      <c r="A457">
        <v>0</v>
      </c>
      <c r="B457" t="s">
        <v>244</v>
      </c>
      <c r="C457" s="18">
        <v>45658</v>
      </c>
      <c r="D457" t="str">
        <f>"8167"</f>
        <v>8167</v>
      </c>
      <c r="E457" s="18">
        <v>45129</v>
      </c>
      <c r="F457" t="s">
        <v>977</v>
      </c>
      <c r="G457" t="s">
        <v>247</v>
      </c>
      <c r="H457" t="s">
        <v>978</v>
      </c>
      <c r="L457" s="35">
        <v>131600</v>
      </c>
    </row>
    <row r="458" spans="1:12" x14ac:dyDescent="0.25">
      <c r="A458">
        <v>0</v>
      </c>
      <c r="B458" t="s">
        <v>244</v>
      </c>
      <c r="C458" s="18">
        <v>45658</v>
      </c>
      <c r="D458" t="str">
        <f>"8168"</f>
        <v>8168</v>
      </c>
      <c r="E458" s="18">
        <v>45136</v>
      </c>
      <c r="F458" t="str">
        <f>"13"</f>
        <v>13</v>
      </c>
      <c r="G458" t="s">
        <v>247</v>
      </c>
      <c r="H458" t="s">
        <v>979</v>
      </c>
      <c r="L458" s="35">
        <v>20000</v>
      </c>
    </row>
    <row r="459" spans="1:12" x14ac:dyDescent="0.25">
      <c r="A459">
        <v>0</v>
      </c>
      <c r="B459" t="s">
        <v>244</v>
      </c>
      <c r="C459" s="18">
        <v>45658</v>
      </c>
      <c r="D459" t="str">
        <f>"8169"</f>
        <v>8169</v>
      </c>
      <c r="E459" s="18">
        <v>45108</v>
      </c>
      <c r="F459" t="s">
        <v>980</v>
      </c>
      <c r="G459" t="s">
        <v>247</v>
      </c>
      <c r="H459" t="s">
        <v>981</v>
      </c>
      <c r="L459" s="35">
        <v>42640</v>
      </c>
    </row>
    <row r="460" spans="1:12" x14ac:dyDescent="0.25">
      <c r="A460">
        <v>0</v>
      </c>
      <c r="B460" t="s">
        <v>244</v>
      </c>
      <c r="C460" s="18">
        <v>45658</v>
      </c>
      <c r="D460" t="str">
        <f>"8170"</f>
        <v>8170</v>
      </c>
      <c r="E460" s="18">
        <v>45108</v>
      </c>
      <c r="F460" t="s">
        <v>982</v>
      </c>
      <c r="G460" t="s">
        <v>247</v>
      </c>
      <c r="H460" t="s">
        <v>983</v>
      </c>
      <c r="L460" s="35">
        <v>453040</v>
      </c>
    </row>
    <row r="461" spans="1:12" x14ac:dyDescent="0.25">
      <c r="A461">
        <v>0</v>
      </c>
      <c r="B461" t="s">
        <v>244</v>
      </c>
      <c r="C461" s="18">
        <v>45658</v>
      </c>
      <c r="D461" t="str">
        <f>"8171"</f>
        <v>8171</v>
      </c>
      <c r="E461" s="18">
        <v>45115</v>
      </c>
      <c r="F461" t="str">
        <f>"150423"</f>
        <v>150423</v>
      </c>
      <c r="G461" t="s">
        <v>247</v>
      </c>
      <c r="H461" t="s">
        <v>984</v>
      </c>
      <c r="L461" s="35">
        <v>28000</v>
      </c>
    </row>
    <row r="462" spans="1:12" x14ac:dyDescent="0.25">
      <c r="A462">
        <v>0</v>
      </c>
      <c r="B462" t="s">
        <v>244</v>
      </c>
      <c r="C462" s="18">
        <v>45658</v>
      </c>
      <c r="D462" t="str">
        <f>"8172"</f>
        <v>8172</v>
      </c>
      <c r="E462" t="str">
        <f>"00013027"</f>
        <v>00013027</v>
      </c>
      <c r="G462" t="s">
        <v>247</v>
      </c>
      <c r="H462" t="s">
        <v>985</v>
      </c>
      <c r="L462" s="35">
        <v>16185147.039999999</v>
      </c>
    </row>
    <row r="463" spans="1:12" x14ac:dyDescent="0.25">
      <c r="A463">
        <v>0</v>
      </c>
      <c r="B463" t="s">
        <v>244</v>
      </c>
      <c r="C463" s="18">
        <v>45658</v>
      </c>
      <c r="D463" t="str">
        <f>"8173"</f>
        <v>8173</v>
      </c>
      <c r="E463" s="18">
        <v>45164</v>
      </c>
      <c r="F463" t="str">
        <f>"004204"</f>
        <v>004204</v>
      </c>
      <c r="G463" t="s">
        <v>247</v>
      </c>
      <c r="H463" t="s">
        <v>986</v>
      </c>
      <c r="L463" s="35">
        <v>84480</v>
      </c>
    </row>
    <row r="464" spans="1:12" x14ac:dyDescent="0.25">
      <c r="A464">
        <v>0</v>
      </c>
      <c r="B464" t="s">
        <v>244</v>
      </c>
      <c r="C464" s="18">
        <v>45658</v>
      </c>
      <c r="D464" t="str">
        <f>"8174"</f>
        <v>8174</v>
      </c>
      <c r="E464" s="18">
        <v>45149</v>
      </c>
      <c r="F464" t="s">
        <v>987</v>
      </c>
      <c r="G464" t="s">
        <v>247</v>
      </c>
      <c r="H464" t="s">
        <v>988</v>
      </c>
      <c r="L464" s="35">
        <v>599440</v>
      </c>
    </row>
    <row r="465" spans="1:12" x14ac:dyDescent="0.25">
      <c r="A465">
        <v>0</v>
      </c>
      <c r="B465" t="s">
        <v>244</v>
      </c>
      <c r="C465" s="18">
        <v>45658</v>
      </c>
      <c r="D465" t="str">
        <f>"8175"</f>
        <v>8175</v>
      </c>
      <c r="E465" s="18">
        <v>45149</v>
      </c>
      <c r="F465" s="18">
        <v>45110</v>
      </c>
      <c r="G465" t="s">
        <v>247</v>
      </c>
      <c r="H465" t="s">
        <v>989</v>
      </c>
      <c r="L465" s="35">
        <v>29840</v>
      </c>
    </row>
    <row r="466" spans="1:12" x14ac:dyDescent="0.25">
      <c r="A466">
        <v>0</v>
      </c>
      <c r="B466" t="s">
        <v>244</v>
      </c>
      <c r="C466" s="18">
        <v>45658</v>
      </c>
      <c r="D466" t="str">
        <f>"8176"</f>
        <v>8176</v>
      </c>
      <c r="E466" s="18">
        <v>45149</v>
      </c>
      <c r="F466" t="s">
        <v>990</v>
      </c>
      <c r="G466" t="s">
        <v>247</v>
      </c>
      <c r="H466" t="s">
        <v>991</v>
      </c>
      <c r="L466" s="35">
        <v>170000</v>
      </c>
    </row>
    <row r="467" spans="1:12" x14ac:dyDescent="0.25">
      <c r="A467">
        <v>0</v>
      </c>
      <c r="B467" t="s">
        <v>244</v>
      </c>
      <c r="C467" s="18">
        <v>45658</v>
      </c>
      <c r="D467" t="str">
        <f>"8177"</f>
        <v>8177</v>
      </c>
      <c r="E467" s="18">
        <v>45149</v>
      </c>
      <c r="F467" t="str">
        <f>"241086"</f>
        <v>241086</v>
      </c>
      <c r="G467" t="s">
        <v>247</v>
      </c>
      <c r="H467" t="s">
        <v>992</v>
      </c>
      <c r="L467" s="35">
        <v>46480</v>
      </c>
    </row>
    <row r="468" spans="1:12" x14ac:dyDescent="0.25">
      <c r="A468">
        <v>0</v>
      </c>
      <c r="B468" t="s">
        <v>244</v>
      </c>
      <c r="C468" s="18">
        <v>45658</v>
      </c>
      <c r="D468" t="str">
        <f>"8178"</f>
        <v>8178</v>
      </c>
      <c r="E468" s="18">
        <v>45149</v>
      </c>
      <c r="F468" t="s">
        <v>993</v>
      </c>
      <c r="G468" t="s">
        <v>247</v>
      </c>
      <c r="H468" t="s">
        <v>994</v>
      </c>
      <c r="L468" s="35">
        <v>20800</v>
      </c>
    </row>
    <row r="469" spans="1:12" x14ac:dyDescent="0.25">
      <c r="A469">
        <v>0</v>
      </c>
      <c r="B469" t="s">
        <v>244</v>
      </c>
      <c r="C469" s="18">
        <v>45658</v>
      </c>
      <c r="D469" t="str">
        <f>"8179"</f>
        <v>8179</v>
      </c>
      <c r="E469" s="18">
        <v>45154</v>
      </c>
      <c r="F469" t="s">
        <v>995</v>
      </c>
      <c r="G469" t="s">
        <v>247</v>
      </c>
      <c r="H469" t="s">
        <v>996</v>
      </c>
      <c r="L469" s="35">
        <v>47760</v>
      </c>
    </row>
    <row r="470" spans="1:12" x14ac:dyDescent="0.25">
      <c r="A470">
        <v>0</v>
      </c>
      <c r="B470" t="s">
        <v>244</v>
      </c>
      <c r="C470" s="18">
        <v>45658</v>
      </c>
      <c r="D470" t="str">
        <f>"8180"</f>
        <v>8180</v>
      </c>
      <c r="E470" s="18">
        <v>45154</v>
      </c>
      <c r="F470" t="str">
        <f>"0023109"</f>
        <v>0023109</v>
      </c>
      <c r="G470" t="s">
        <v>247</v>
      </c>
      <c r="H470" t="s">
        <v>997</v>
      </c>
      <c r="L470" s="35">
        <v>20000</v>
      </c>
    </row>
    <row r="471" spans="1:12" x14ac:dyDescent="0.25">
      <c r="A471">
        <v>0</v>
      </c>
      <c r="B471" t="s">
        <v>244</v>
      </c>
      <c r="C471" s="18">
        <v>45658</v>
      </c>
      <c r="D471" t="str">
        <f>"8181"</f>
        <v>8181</v>
      </c>
      <c r="E471" s="18">
        <v>45164</v>
      </c>
      <c r="F471" t="s">
        <v>998</v>
      </c>
      <c r="G471" t="s">
        <v>247</v>
      </c>
      <c r="H471" t="s">
        <v>999</v>
      </c>
      <c r="L471" s="35">
        <v>409680</v>
      </c>
    </row>
    <row r="472" spans="1:12" x14ac:dyDescent="0.25">
      <c r="A472">
        <v>0</v>
      </c>
      <c r="B472" t="s">
        <v>244</v>
      </c>
      <c r="C472" s="18">
        <v>45658</v>
      </c>
      <c r="D472" t="str">
        <f>"8182"</f>
        <v>8182</v>
      </c>
      <c r="E472" s="18">
        <v>45164</v>
      </c>
      <c r="F472" t="s">
        <v>1000</v>
      </c>
      <c r="G472" t="s">
        <v>247</v>
      </c>
      <c r="H472" t="s">
        <v>1001</v>
      </c>
      <c r="L472" s="35">
        <v>352740</v>
      </c>
    </row>
    <row r="473" spans="1:12" x14ac:dyDescent="0.25">
      <c r="A473">
        <v>0</v>
      </c>
      <c r="B473" t="s">
        <v>244</v>
      </c>
      <c r="C473" s="18">
        <v>45658</v>
      </c>
      <c r="D473" t="str">
        <f>"8183"</f>
        <v>8183</v>
      </c>
      <c r="E473" s="18">
        <v>45164</v>
      </c>
      <c r="F473" t="s">
        <v>1002</v>
      </c>
      <c r="G473" t="s">
        <v>247</v>
      </c>
      <c r="H473" t="s">
        <v>1003</v>
      </c>
      <c r="L473" s="35">
        <v>288000</v>
      </c>
    </row>
    <row r="474" spans="1:12" x14ac:dyDescent="0.25">
      <c r="A474">
        <v>0</v>
      </c>
      <c r="B474" t="s">
        <v>244</v>
      </c>
      <c r="C474" s="18">
        <v>45658</v>
      </c>
      <c r="D474" t="str">
        <f>"8184"</f>
        <v>8184</v>
      </c>
      <c r="E474" s="18">
        <v>45164</v>
      </c>
      <c r="F474" t="s">
        <v>1004</v>
      </c>
      <c r="G474" t="s">
        <v>247</v>
      </c>
      <c r="H474" t="s">
        <v>1005</v>
      </c>
      <c r="L474" s="35">
        <v>48000</v>
      </c>
    </row>
    <row r="475" spans="1:12" x14ac:dyDescent="0.25">
      <c r="A475">
        <v>0</v>
      </c>
      <c r="B475" t="s">
        <v>244</v>
      </c>
      <c r="C475" s="18">
        <v>45658</v>
      </c>
      <c r="D475" t="str">
        <f>"8185"</f>
        <v>8185</v>
      </c>
      <c r="E475" s="18">
        <v>45163</v>
      </c>
      <c r="F475" t="str">
        <f>"231220"</f>
        <v>231220</v>
      </c>
      <c r="G475" t="s">
        <v>247</v>
      </c>
      <c r="H475" t="s">
        <v>1006</v>
      </c>
      <c r="L475" s="35">
        <v>14480</v>
      </c>
    </row>
    <row r="476" spans="1:12" x14ac:dyDescent="0.25">
      <c r="A476">
        <v>0</v>
      </c>
      <c r="B476" t="s">
        <v>244</v>
      </c>
      <c r="C476" s="18">
        <v>45658</v>
      </c>
      <c r="D476" t="str">
        <f>"8186"</f>
        <v>8186</v>
      </c>
      <c r="E476" s="18">
        <v>45150</v>
      </c>
      <c r="F476" t="str">
        <f>"0023194"</f>
        <v>0023194</v>
      </c>
      <c r="G476" t="s">
        <v>247</v>
      </c>
      <c r="H476" t="s">
        <v>1007</v>
      </c>
      <c r="L476" s="35">
        <v>288864</v>
      </c>
    </row>
    <row r="477" spans="1:12" x14ac:dyDescent="0.25">
      <c r="A477">
        <v>0</v>
      </c>
      <c r="B477" t="s">
        <v>244</v>
      </c>
      <c r="C477" s="18">
        <v>45658</v>
      </c>
      <c r="D477" t="str">
        <f>"8187"</f>
        <v>8187</v>
      </c>
      <c r="E477" s="18">
        <v>45150</v>
      </c>
      <c r="F477" t="str">
        <f>"327392"</f>
        <v>327392</v>
      </c>
      <c r="G477" t="s">
        <v>247</v>
      </c>
      <c r="H477" t="s">
        <v>1008</v>
      </c>
      <c r="L477" s="35">
        <v>440000</v>
      </c>
    </row>
    <row r="478" spans="1:12" x14ac:dyDescent="0.25">
      <c r="A478">
        <v>0</v>
      </c>
      <c r="B478" t="s">
        <v>244</v>
      </c>
      <c r="C478" s="18">
        <v>45658</v>
      </c>
      <c r="D478" t="str">
        <f>"8188"</f>
        <v>8188</v>
      </c>
      <c r="E478" s="18">
        <v>45150</v>
      </c>
      <c r="F478" t="str">
        <f>"0772"</f>
        <v>0772</v>
      </c>
      <c r="G478" t="s">
        <v>247</v>
      </c>
      <c r="H478" t="s">
        <v>1009</v>
      </c>
      <c r="L478" s="35">
        <v>320000</v>
      </c>
    </row>
    <row r="479" spans="1:12" x14ac:dyDescent="0.25">
      <c r="A479">
        <v>0</v>
      </c>
      <c r="B479" t="s">
        <v>244</v>
      </c>
      <c r="C479" s="18">
        <v>45658</v>
      </c>
      <c r="D479" t="str">
        <f>"8189"</f>
        <v>8189</v>
      </c>
      <c r="E479" s="18">
        <v>45140</v>
      </c>
      <c r="F479" t="s">
        <v>1010</v>
      </c>
      <c r="G479" t="s">
        <v>247</v>
      </c>
      <c r="H479" t="s">
        <v>1011</v>
      </c>
      <c r="L479" s="35">
        <v>103200</v>
      </c>
    </row>
    <row r="480" spans="1:12" x14ac:dyDescent="0.25">
      <c r="A480">
        <v>0</v>
      </c>
      <c r="B480" t="s">
        <v>244</v>
      </c>
      <c r="C480" s="18">
        <v>45658</v>
      </c>
      <c r="D480" t="str">
        <f>"8190"</f>
        <v>8190</v>
      </c>
      <c r="E480" s="18">
        <v>45184</v>
      </c>
      <c r="F480" t="str">
        <f>"13923"</f>
        <v>13923</v>
      </c>
      <c r="G480" t="s">
        <v>247</v>
      </c>
      <c r="H480" t="s">
        <v>1012</v>
      </c>
      <c r="L480" s="35">
        <v>362720</v>
      </c>
    </row>
    <row r="481" spans="1:12" x14ac:dyDescent="0.25">
      <c r="A481">
        <v>0</v>
      </c>
      <c r="B481" t="s">
        <v>244</v>
      </c>
      <c r="C481" s="18">
        <v>45658</v>
      </c>
      <c r="D481" t="str">
        <f>"8191"</f>
        <v>8191</v>
      </c>
      <c r="E481" s="18">
        <v>45170</v>
      </c>
      <c r="F481" t="s">
        <v>1013</v>
      </c>
      <c r="G481" t="s">
        <v>247</v>
      </c>
      <c r="H481" t="s">
        <v>1014</v>
      </c>
      <c r="L481" s="35">
        <v>65120</v>
      </c>
    </row>
    <row r="482" spans="1:12" x14ac:dyDescent="0.25">
      <c r="A482">
        <v>0</v>
      </c>
      <c r="B482" t="s">
        <v>244</v>
      </c>
      <c r="C482" s="18">
        <v>45658</v>
      </c>
      <c r="D482" t="str">
        <f>"8192"</f>
        <v>8192</v>
      </c>
      <c r="E482" s="18">
        <v>45170</v>
      </c>
      <c r="F482" t="s">
        <v>1015</v>
      </c>
      <c r="G482" t="s">
        <v>247</v>
      </c>
      <c r="H482" t="s">
        <v>1016</v>
      </c>
      <c r="L482" s="35">
        <v>32000</v>
      </c>
    </row>
    <row r="483" spans="1:12" x14ac:dyDescent="0.25">
      <c r="A483">
        <v>0</v>
      </c>
      <c r="B483" t="s">
        <v>244</v>
      </c>
      <c r="C483" s="18">
        <v>45658</v>
      </c>
      <c r="D483" t="str">
        <f>"8193"</f>
        <v>8193</v>
      </c>
      <c r="E483" s="18">
        <v>45177</v>
      </c>
      <c r="F483" t="s">
        <v>1017</v>
      </c>
      <c r="G483" t="s">
        <v>247</v>
      </c>
      <c r="H483" t="s">
        <v>1018</v>
      </c>
      <c r="L483" s="35">
        <v>28880</v>
      </c>
    </row>
    <row r="484" spans="1:12" x14ac:dyDescent="0.25">
      <c r="A484">
        <v>0</v>
      </c>
      <c r="B484" t="s">
        <v>244</v>
      </c>
      <c r="C484" s="18">
        <v>45658</v>
      </c>
      <c r="D484" t="str">
        <f>"8194"</f>
        <v>8194</v>
      </c>
      <c r="E484" s="18">
        <v>45177</v>
      </c>
      <c r="F484" t="s">
        <v>1019</v>
      </c>
      <c r="G484" t="s">
        <v>247</v>
      </c>
      <c r="H484" t="s">
        <v>1020</v>
      </c>
      <c r="L484" s="35">
        <v>39040</v>
      </c>
    </row>
    <row r="485" spans="1:12" x14ac:dyDescent="0.25">
      <c r="A485">
        <v>0</v>
      </c>
      <c r="B485" t="s">
        <v>407</v>
      </c>
      <c r="C485" s="18">
        <v>45867</v>
      </c>
      <c r="D485" t="str">
        <f>"8194"</f>
        <v>8194</v>
      </c>
      <c r="E485" s="18">
        <v>45867</v>
      </c>
      <c r="F485" t="str">
        <f>"24955"</f>
        <v>24955</v>
      </c>
      <c r="G485" t="s">
        <v>247</v>
      </c>
      <c r="H485" t="s">
        <v>1021</v>
      </c>
      <c r="L485" s="35">
        <v>400</v>
      </c>
    </row>
    <row r="486" spans="1:12" x14ac:dyDescent="0.25">
      <c r="A486">
        <v>0</v>
      </c>
      <c r="B486" t="s">
        <v>244</v>
      </c>
      <c r="C486" s="18">
        <v>45658</v>
      </c>
      <c r="D486" t="str">
        <f>"8195"</f>
        <v>8195</v>
      </c>
      <c r="E486" s="18">
        <v>45192</v>
      </c>
      <c r="F486" t="str">
        <f>"13976"</f>
        <v>13976</v>
      </c>
      <c r="G486" t="s">
        <v>247</v>
      </c>
      <c r="H486" t="s">
        <v>1022</v>
      </c>
      <c r="L486" s="35">
        <v>200000</v>
      </c>
    </row>
    <row r="487" spans="1:12" x14ac:dyDescent="0.25">
      <c r="A487">
        <v>0</v>
      </c>
      <c r="B487" t="s">
        <v>244</v>
      </c>
      <c r="C487" s="18">
        <v>45658</v>
      </c>
      <c r="D487" t="str">
        <f>"8196"</f>
        <v>8196</v>
      </c>
      <c r="E487" s="18">
        <v>45191</v>
      </c>
      <c r="F487" t="str">
        <f>"13953"</f>
        <v>13953</v>
      </c>
      <c r="G487" t="s">
        <v>247</v>
      </c>
      <c r="H487" t="s">
        <v>1023</v>
      </c>
      <c r="L487" s="35">
        <v>48000</v>
      </c>
    </row>
    <row r="488" spans="1:12" x14ac:dyDescent="0.25">
      <c r="A488">
        <v>0</v>
      </c>
      <c r="B488" t="s">
        <v>244</v>
      </c>
      <c r="C488" s="18">
        <v>45658</v>
      </c>
      <c r="D488" t="str">
        <f>"8197"</f>
        <v>8197</v>
      </c>
      <c r="E488" s="18">
        <v>45191</v>
      </c>
      <c r="F488" t="str">
        <f>"13954"</f>
        <v>13954</v>
      </c>
      <c r="G488" t="s">
        <v>247</v>
      </c>
      <c r="H488" t="s">
        <v>1024</v>
      </c>
      <c r="L488" s="35">
        <v>628850</v>
      </c>
    </row>
    <row r="489" spans="1:12" x14ac:dyDescent="0.25">
      <c r="A489">
        <v>0</v>
      </c>
      <c r="B489" t="s">
        <v>244</v>
      </c>
      <c r="C489" s="18">
        <v>45658</v>
      </c>
      <c r="D489" t="str">
        <f>"8198"</f>
        <v>8198</v>
      </c>
      <c r="E489" s="18">
        <v>45184</v>
      </c>
      <c r="F489" t="str">
        <f>"241944"</f>
        <v>241944</v>
      </c>
      <c r="G489" t="s">
        <v>247</v>
      </c>
      <c r="H489" t="s">
        <v>1025</v>
      </c>
      <c r="L489" s="35">
        <v>69360</v>
      </c>
    </row>
    <row r="490" spans="1:12" x14ac:dyDescent="0.25">
      <c r="A490">
        <v>0</v>
      </c>
      <c r="B490" t="s">
        <v>244</v>
      </c>
      <c r="C490" s="18">
        <v>45658</v>
      </c>
      <c r="D490" t="str">
        <f>"8199"</f>
        <v>8199</v>
      </c>
      <c r="E490" s="18">
        <v>45191</v>
      </c>
      <c r="F490" t="s">
        <v>1026</v>
      </c>
      <c r="G490" t="s">
        <v>247</v>
      </c>
      <c r="H490" t="s">
        <v>1027</v>
      </c>
      <c r="L490" s="35">
        <v>32800</v>
      </c>
    </row>
    <row r="491" spans="1:12" x14ac:dyDescent="0.25">
      <c r="A491">
        <v>0</v>
      </c>
      <c r="B491" t="s">
        <v>244</v>
      </c>
      <c r="C491" s="18">
        <v>45658</v>
      </c>
      <c r="D491" t="str">
        <f>"8200"</f>
        <v>8200</v>
      </c>
      <c r="E491" s="18">
        <v>45183</v>
      </c>
      <c r="F491" t="s">
        <v>1028</v>
      </c>
      <c r="G491" t="s">
        <v>247</v>
      </c>
      <c r="H491" t="s">
        <v>1029</v>
      </c>
      <c r="L491" s="35">
        <v>50000</v>
      </c>
    </row>
    <row r="492" spans="1:12" x14ac:dyDescent="0.25">
      <c r="A492">
        <v>0</v>
      </c>
      <c r="B492" t="s">
        <v>244</v>
      </c>
      <c r="C492" s="18">
        <v>45658</v>
      </c>
      <c r="D492" t="str">
        <f>"8201"</f>
        <v>8201</v>
      </c>
      <c r="E492" s="18">
        <v>45183</v>
      </c>
      <c r="F492" t="s">
        <v>1030</v>
      </c>
      <c r="G492" t="s">
        <v>247</v>
      </c>
      <c r="H492" t="s">
        <v>1031</v>
      </c>
      <c r="L492" s="35">
        <v>52800</v>
      </c>
    </row>
    <row r="493" spans="1:12" x14ac:dyDescent="0.25">
      <c r="A493">
        <v>0</v>
      </c>
      <c r="B493" t="s">
        <v>244</v>
      </c>
      <c r="C493" s="18">
        <v>45658</v>
      </c>
      <c r="D493" t="str">
        <f>"8202"</f>
        <v>8202</v>
      </c>
      <c r="E493" s="18">
        <v>45183</v>
      </c>
      <c r="F493" t="s">
        <v>1032</v>
      </c>
      <c r="G493" t="s">
        <v>247</v>
      </c>
      <c r="H493" t="s">
        <v>1033</v>
      </c>
      <c r="L493" s="35">
        <v>32000</v>
      </c>
    </row>
    <row r="494" spans="1:12" x14ac:dyDescent="0.25">
      <c r="A494">
        <v>0</v>
      </c>
      <c r="B494" t="s">
        <v>244</v>
      </c>
      <c r="C494" s="18">
        <v>45658</v>
      </c>
      <c r="D494" t="str">
        <f>"8203"</f>
        <v>8203</v>
      </c>
      <c r="E494" s="18">
        <v>45171</v>
      </c>
      <c r="F494" t="s">
        <v>1034</v>
      </c>
      <c r="G494" t="s">
        <v>247</v>
      </c>
      <c r="H494" t="s">
        <v>1035</v>
      </c>
      <c r="L494" s="35">
        <v>20800</v>
      </c>
    </row>
    <row r="495" spans="1:12" x14ac:dyDescent="0.25">
      <c r="A495">
        <v>0</v>
      </c>
      <c r="B495" t="s">
        <v>244</v>
      </c>
      <c r="C495" s="18">
        <v>45658</v>
      </c>
      <c r="D495" t="str">
        <f>"8204"</f>
        <v>8204</v>
      </c>
      <c r="E495" s="18">
        <v>45171</v>
      </c>
      <c r="F495" t="s">
        <v>1036</v>
      </c>
      <c r="G495" t="s">
        <v>247</v>
      </c>
      <c r="H495" t="s">
        <v>1037</v>
      </c>
      <c r="L495" s="35">
        <v>1360000</v>
      </c>
    </row>
    <row r="496" spans="1:12" x14ac:dyDescent="0.25">
      <c r="A496">
        <v>0</v>
      </c>
      <c r="B496" t="s">
        <v>244</v>
      </c>
      <c r="C496" s="18">
        <v>45658</v>
      </c>
      <c r="D496" t="str">
        <f>"8205"</f>
        <v>8205</v>
      </c>
      <c r="E496" s="18">
        <v>45171</v>
      </c>
      <c r="F496" t="s">
        <v>1038</v>
      </c>
      <c r="G496" t="s">
        <v>247</v>
      </c>
      <c r="H496" t="s">
        <v>1039</v>
      </c>
      <c r="L496" s="35">
        <v>28880</v>
      </c>
    </row>
    <row r="497" spans="1:12" x14ac:dyDescent="0.25">
      <c r="A497">
        <v>0</v>
      </c>
      <c r="B497" t="s">
        <v>244</v>
      </c>
      <c r="C497" s="18">
        <v>45658</v>
      </c>
      <c r="D497" t="str">
        <f>"8206"</f>
        <v>8206</v>
      </c>
      <c r="E497" s="18">
        <v>45191</v>
      </c>
      <c r="F497" t="s">
        <v>1040</v>
      </c>
      <c r="G497" t="s">
        <v>247</v>
      </c>
      <c r="H497" t="s">
        <v>1041</v>
      </c>
      <c r="L497" s="35">
        <v>107680</v>
      </c>
    </row>
    <row r="498" spans="1:12" x14ac:dyDescent="0.25">
      <c r="A498">
        <v>0</v>
      </c>
      <c r="B498" t="s">
        <v>244</v>
      </c>
      <c r="C498" s="18">
        <v>45658</v>
      </c>
      <c r="D498" t="str">
        <f>"8207"</f>
        <v>8207</v>
      </c>
      <c r="E498" s="18">
        <v>45191</v>
      </c>
      <c r="F498" s="34">
        <v>34449</v>
      </c>
      <c r="G498" t="s">
        <v>247</v>
      </c>
      <c r="H498" t="s">
        <v>1042</v>
      </c>
      <c r="L498" s="35">
        <v>112000</v>
      </c>
    </row>
    <row r="499" spans="1:12" x14ac:dyDescent="0.25">
      <c r="A499">
        <v>0</v>
      </c>
      <c r="B499" t="s">
        <v>244</v>
      </c>
      <c r="C499" s="18">
        <v>45658</v>
      </c>
      <c r="D499" t="str">
        <f>"8208"</f>
        <v>8208</v>
      </c>
      <c r="E499" s="18">
        <v>45198</v>
      </c>
      <c r="F499" t="str">
        <f>"327752"</f>
        <v>327752</v>
      </c>
      <c r="G499" t="s">
        <v>247</v>
      </c>
      <c r="H499" t="s">
        <v>1043</v>
      </c>
      <c r="L499" s="35">
        <v>600000</v>
      </c>
    </row>
    <row r="500" spans="1:12" x14ac:dyDescent="0.25">
      <c r="A500">
        <v>0</v>
      </c>
      <c r="B500" t="s">
        <v>244</v>
      </c>
      <c r="C500" s="18">
        <v>45658</v>
      </c>
      <c r="D500" t="str">
        <f>"8209"</f>
        <v>8209</v>
      </c>
      <c r="E500" s="18">
        <v>45176</v>
      </c>
      <c r="F500" t="s">
        <v>1044</v>
      </c>
      <c r="G500" t="s">
        <v>247</v>
      </c>
      <c r="H500" t="s">
        <v>1045</v>
      </c>
      <c r="L500" s="35">
        <v>28000</v>
      </c>
    </row>
    <row r="501" spans="1:12" x14ac:dyDescent="0.25">
      <c r="A501">
        <v>0</v>
      </c>
      <c r="B501" t="s">
        <v>244</v>
      </c>
      <c r="C501" s="18">
        <v>45658</v>
      </c>
      <c r="D501" t="str">
        <f>"8210"</f>
        <v>8210</v>
      </c>
      <c r="E501" s="18">
        <v>45205</v>
      </c>
      <c r="F501" t="str">
        <f>"080923"</f>
        <v>080923</v>
      </c>
      <c r="G501" t="s">
        <v>247</v>
      </c>
      <c r="H501" t="s">
        <v>1046</v>
      </c>
      <c r="L501" s="35">
        <v>64000</v>
      </c>
    </row>
    <row r="502" spans="1:12" x14ac:dyDescent="0.25">
      <c r="A502">
        <v>0</v>
      </c>
      <c r="B502" t="s">
        <v>244</v>
      </c>
      <c r="C502" s="18">
        <v>45658</v>
      </c>
      <c r="D502" t="str">
        <f>"8211"</f>
        <v>8211</v>
      </c>
      <c r="E502" s="18">
        <v>45205</v>
      </c>
      <c r="F502" t="s">
        <v>1047</v>
      </c>
      <c r="G502" t="s">
        <v>247</v>
      </c>
      <c r="H502" t="s">
        <v>1048</v>
      </c>
      <c r="L502" s="35">
        <v>84000</v>
      </c>
    </row>
    <row r="503" spans="1:12" x14ac:dyDescent="0.25">
      <c r="A503">
        <v>0</v>
      </c>
      <c r="B503" t="s">
        <v>244</v>
      </c>
      <c r="C503" s="18">
        <v>45658</v>
      </c>
      <c r="D503" t="str">
        <f>"8212"</f>
        <v>8212</v>
      </c>
      <c r="E503" s="18">
        <v>45206</v>
      </c>
      <c r="F503" t="s">
        <v>1049</v>
      </c>
      <c r="G503" t="s">
        <v>247</v>
      </c>
      <c r="H503" t="s">
        <v>1050</v>
      </c>
      <c r="L503" s="35">
        <v>1104000</v>
      </c>
    </row>
    <row r="504" spans="1:12" x14ac:dyDescent="0.25">
      <c r="A504">
        <v>0</v>
      </c>
      <c r="B504" t="s">
        <v>244</v>
      </c>
      <c r="C504" s="18">
        <v>45658</v>
      </c>
      <c r="D504" t="str">
        <f>"8213"</f>
        <v>8213</v>
      </c>
      <c r="E504" s="18">
        <v>45203</v>
      </c>
      <c r="F504" t="str">
        <f>"002895"</f>
        <v>002895</v>
      </c>
      <c r="G504" t="s">
        <v>247</v>
      </c>
      <c r="H504" t="s">
        <v>1051</v>
      </c>
      <c r="L504" s="35">
        <v>288000</v>
      </c>
    </row>
    <row r="505" spans="1:12" x14ac:dyDescent="0.25">
      <c r="A505">
        <v>0</v>
      </c>
      <c r="B505" t="s">
        <v>244</v>
      </c>
      <c r="C505" s="18">
        <v>45658</v>
      </c>
      <c r="D505" t="str">
        <f>"8214"</f>
        <v>8214</v>
      </c>
      <c r="E505" s="18">
        <v>45205</v>
      </c>
      <c r="F505" t="s">
        <v>1052</v>
      </c>
      <c r="G505" t="s">
        <v>247</v>
      </c>
      <c r="H505" t="s">
        <v>1053</v>
      </c>
      <c r="L505" s="35">
        <v>102200</v>
      </c>
    </row>
    <row r="506" spans="1:12" x14ac:dyDescent="0.25">
      <c r="A506">
        <v>0</v>
      </c>
      <c r="B506" t="s">
        <v>244</v>
      </c>
      <c r="C506" s="18">
        <v>45658</v>
      </c>
      <c r="D506" t="str">
        <f>"8215"</f>
        <v>8215</v>
      </c>
      <c r="E506" s="18">
        <v>45205</v>
      </c>
      <c r="F506" t="s">
        <v>1054</v>
      </c>
      <c r="G506" t="s">
        <v>247</v>
      </c>
      <c r="H506" t="s">
        <v>1055</v>
      </c>
      <c r="L506" s="35">
        <v>648280</v>
      </c>
    </row>
    <row r="507" spans="1:12" x14ac:dyDescent="0.25">
      <c r="A507">
        <v>0</v>
      </c>
      <c r="B507" t="s">
        <v>244</v>
      </c>
      <c r="C507" s="18">
        <v>45658</v>
      </c>
      <c r="D507" t="str">
        <f>"8216"</f>
        <v>8216</v>
      </c>
      <c r="E507" s="18">
        <v>45206</v>
      </c>
      <c r="F507" t="s">
        <v>1056</v>
      </c>
      <c r="G507" t="s">
        <v>247</v>
      </c>
      <c r="H507" t="s">
        <v>1057</v>
      </c>
      <c r="L507" s="35">
        <v>64000</v>
      </c>
    </row>
    <row r="508" spans="1:12" x14ac:dyDescent="0.25">
      <c r="A508">
        <v>0</v>
      </c>
      <c r="B508" t="s">
        <v>244</v>
      </c>
      <c r="C508" s="18">
        <v>45658</v>
      </c>
      <c r="D508" t="str">
        <f>"8217"</f>
        <v>8217</v>
      </c>
      <c r="E508" s="18">
        <v>45206</v>
      </c>
      <c r="F508" t="s">
        <v>1058</v>
      </c>
      <c r="G508" t="s">
        <v>247</v>
      </c>
      <c r="H508" t="s">
        <v>1059</v>
      </c>
      <c r="L508" s="35">
        <v>810000</v>
      </c>
    </row>
    <row r="509" spans="1:12" x14ac:dyDescent="0.25">
      <c r="A509">
        <v>0</v>
      </c>
      <c r="B509" t="s">
        <v>244</v>
      </c>
      <c r="C509" s="18">
        <v>45658</v>
      </c>
      <c r="D509" t="str">
        <f>"8218"</f>
        <v>8218</v>
      </c>
      <c r="E509" s="18">
        <v>45212</v>
      </c>
      <c r="F509" t="s">
        <v>1060</v>
      </c>
      <c r="G509" t="s">
        <v>247</v>
      </c>
      <c r="H509" t="s">
        <v>1061</v>
      </c>
      <c r="L509" s="35">
        <v>20800</v>
      </c>
    </row>
    <row r="510" spans="1:12" x14ac:dyDescent="0.25">
      <c r="A510">
        <v>0</v>
      </c>
      <c r="B510" t="s">
        <v>244</v>
      </c>
      <c r="C510" s="18">
        <v>45658</v>
      </c>
      <c r="D510" t="str">
        <f>"8219"</f>
        <v>8219</v>
      </c>
      <c r="E510" s="18">
        <v>45212</v>
      </c>
      <c r="F510" t="s">
        <v>1062</v>
      </c>
      <c r="G510" t="s">
        <v>247</v>
      </c>
      <c r="H510" t="s">
        <v>1063</v>
      </c>
      <c r="L510" s="35">
        <v>29040</v>
      </c>
    </row>
    <row r="511" spans="1:12" x14ac:dyDescent="0.25">
      <c r="A511">
        <v>0</v>
      </c>
      <c r="B511" t="s">
        <v>244</v>
      </c>
      <c r="C511" s="18">
        <v>45658</v>
      </c>
      <c r="D511" t="str">
        <f>"8220"</f>
        <v>8220</v>
      </c>
      <c r="E511" s="18">
        <v>45212</v>
      </c>
      <c r="F511" t="s">
        <v>1064</v>
      </c>
      <c r="G511" t="s">
        <v>247</v>
      </c>
      <c r="H511" t="s">
        <v>1065</v>
      </c>
      <c r="L511" s="35">
        <v>264000</v>
      </c>
    </row>
    <row r="512" spans="1:12" x14ac:dyDescent="0.25">
      <c r="A512">
        <v>0</v>
      </c>
      <c r="B512" t="s">
        <v>244</v>
      </c>
      <c r="C512" s="18">
        <v>45658</v>
      </c>
      <c r="D512" t="str">
        <f>"8221"</f>
        <v>8221</v>
      </c>
      <c r="E512" s="18">
        <v>45212</v>
      </c>
      <c r="F512" t="str">
        <f>"001450"</f>
        <v>001450</v>
      </c>
      <c r="G512" t="s">
        <v>247</v>
      </c>
      <c r="H512" t="s">
        <v>1066</v>
      </c>
      <c r="L512" s="35">
        <v>321000</v>
      </c>
    </row>
    <row r="513" spans="1:12" x14ac:dyDescent="0.25">
      <c r="A513">
        <v>0</v>
      </c>
      <c r="B513" t="s">
        <v>244</v>
      </c>
      <c r="C513" s="18">
        <v>45658</v>
      </c>
      <c r="D513" t="str">
        <f>"8222"</f>
        <v>8222</v>
      </c>
      <c r="E513" s="18">
        <v>45212</v>
      </c>
      <c r="F513" t="s">
        <v>1067</v>
      </c>
      <c r="G513" t="s">
        <v>247</v>
      </c>
      <c r="H513" t="s">
        <v>1068</v>
      </c>
      <c r="L513" s="35">
        <v>32000</v>
      </c>
    </row>
    <row r="514" spans="1:12" x14ac:dyDescent="0.25">
      <c r="A514">
        <v>0</v>
      </c>
      <c r="B514" t="s">
        <v>244</v>
      </c>
      <c r="C514" s="18">
        <v>45658</v>
      </c>
      <c r="D514" t="str">
        <f>"8223"</f>
        <v>8223</v>
      </c>
      <c r="E514" s="18">
        <v>45212</v>
      </c>
      <c r="F514" t="s">
        <v>1069</v>
      </c>
      <c r="G514" t="s">
        <v>247</v>
      </c>
      <c r="H514" t="s">
        <v>1070</v>
      </c>
      <c r="L514" s="35">
        <v>64000</v>
      </c>
    </row>
    <row r="515" spans="1:12" x14ac:dyDescent="0.25">
      <c r="A515">
        <v>0</v>
      </c>
      <c r="B515" t="s">
        <v>244</v>
      </c>
      <c r="C515" s="18">
        <v>45658</v>
      </c>
      <c r="D515" t="str">
        <f>"8224"</f>
        <v>8224</v>
      </c>
      <c r="E515" s="18">
        <v>45212</v>
      </c>
      <c r="F515" t="s">
        <v>1071</v>
      </c>
      <c r="G515" t="s">
        <v>247</v>
      </c>
      <c r="H515" t="s">
        <v>1072</v>
      </c>
      <c r="L515" s="35">
        <v>32800</v>
      </c>
    </row>
    <row r="516" spans="1:12" x14ac:dyDescent="0.25">
      <c r="A516">
        <v>0</v>
      </c>
      <c r="B516" t="s">
        <v>244</v>
      </c>
      <c r="C516" s="18">
        <v>45658</v>
      </c>
      <c r="D516" t="str">
        <f>"8225"</f>
        <v>8225</v>
      </c>
      <c r="E516" s="18">
        <v>45212</v>
      </c>
      <c r="F516" t="str">
        <f>"728"</f>
        <v>728</v>
      </c>
      <c r="G516" t="s">
        <v>247</v>
      </c>
      <c r="H516" t="s">
        <v>1073</v>
      </c>
      <c r="L516" s="35">
        <v>552000</v>
      </c>
    </row>
    <row r="517" spans="1:12" x14ac:dyDescent="0.25">
      <c r="A517">
        <v>0</v>
      </c>
      <c r="B517" t="s">
        <v>244</v>
      </c>
      <c r="C517" s="18">
        <v>45658</v>
      </c>
      <c r="D517" t="str">
        <f>"8226"</f>
        <v>8226</v>
      </c>
      <c r="E517" s="18">
        <v>45212</v>
      </c>
      <c r="F517" t="s">
        <v>1074</v>
      </c>
      <c r="G517" t="s">
        <v>247</v>
      </c>
      <c r="H517" t="s">
        <v>1075</v>
      </c>
      <c r="L517" s="35">
        <v>480720</v>
      </c>
    </row>
    <row r="518" spans="1:12" x14ac:dyDescent="0.25">
      <c r="A518">
        <v>0</v>
      </c>
      <c r="B518" t="s">
        <v>244</v>
      </c>
      <c r="C518" s="18">
        <v>45658</v>
      </c>
      <c r="D518" t="str">
        <f>"8227"</f>
        <v>8227</v>
      </c>
      <c r="E518" s="18">
        <v>45212</v>
      </c>
      <c r="F518" t="s">
        <v>1076</v>
      </c>
      <c r="G518" t="s">
        <v>247</v>
      </c>
      <c r="H518" t="s">
        <v>1077</v>
      </c>
      <c r="L518" s="35">
        <v>161440</v>
      </c>
    </row>
    <row r="519" spans="1:12" x14ac:dyDescent="0.25">
      <c r="A519">
        <v>0</v>
      </c>
      <c r="B519" t="s">
        <v>244</v>
      </c>
      <c r="C519" s="18">
        <v>45658</v>
      </c>
      <c r="D519" t="str">
        <f>"8228"</f>
        <v>8228</v>
      </c>
      <c r="E519" s="18">
        <v>45212</v>
      </c>
      <c r="F519" t="s">
        <v>1078</v>
      </c>
      <c r="G519" t="s">
        <v>247</v>
      </c>
      <c r="H519" t="s">
        <v>1079</v>
      </c>
      <c r="L519" s="35">
        <v>59120</v>
      </c>
    </row>
    <row r="520" spans="1:12" x14ac:dyDescent="0.25">
      <c r="A520">
        <v>0</v>
      </c>
      <c r="B520" t="s">
        <v>244</v>
      </c>
      <c r="C520" s="18">
        <v>45658</v>
      </c>
      <c r="D520" t="str">
        <f>"8229"</f>
        <v>8229</v>
      </c>
      <c r="E520" s="18">
        <v>45212</v>
      </c>
      <c r="F520" t="s">
        <v>1080</v>
      </c>
      <c r="G520" t="s">
        <v>247</v>
      </c>
      <c r="H520" t="s">
        <v>1081</v>
      </c>
      <c r="L520" s="35">
        <v>42000</v>
      </c>
    </row>
    <row r="521" spans="1:12" x14ac:dyDescent="0.25">
      <c r="A521">
        <v>0</v>
      </c>
      <c r="B521" t="s">
        <v>244</v>
      </c>
      <c r="C521" s="18">
        <v>45658</v>
      </c>
      <c r="D521" t="str">
        <f>"8230"</f>
        <v>8230</v>
      </c>
      <c r="E521" s="18">
        <v>45212</v>
      </c>
      <c r="F521" t="str">
        <f>"242281"</f>
        <v>242281</v>
      </c>
      <c r="G521" t="s">
        <v>247</v>
      </c>
      <c r="H521" t="s">
        <v>1082</v>
      </c>
      <c r="L521" s="35">
        <v>143520</v>
      </c>
    </row>
    <row r="522" spans="1:12" x14ac:dyDescent="0.25">
      <c r="A522">
        <v>0</v>
      </c>
      <c r="B522" t="s">
        <v>407</v>
      </c>
      <c r="C522" s="18">
        <v>45868</v>
      </c>
      <c r="D522" t="str">
        <f>"8230"</f>
        <v>8230</v>
      </c>
      <c r="E522" s="18">
        <v>45868</v>
      </c>
      <c r="F522" t="str">
        <f>"25020"</f>
        <v>25020</v>
      </c>
      <c r="G522" t="s">
        <v>247</v>
      </c>
      <c r="H522" t="s">
        <v>615</v>
      </c>
      <c r="L522" s="35">
        <v>400</v>
      </c>
    </row>
    <row r="523" spans="1:12" x14ac:dyDescent="0.25">
      <c r="A523">
        <v>0</v>
      </c>
      <c r="B523" t="s">
        <v>244</v>
      </c>
      <c r="C523" s="18">
        <v>45658</v>
      </c>
      <c r="D523" t="str">
        <f>"8231"</f>
        <v>8231</v>
      </c>
      <c r="E523" s="18">
        <v>45205</v>
      </c>
      <c r="F523" t="str">
        <f>"275460"</f>
        <v>275460</v>
      </c>
      <c r="G523" t="s">
        <v>247</v>
      </c>
      <c r="H523" t="s">
        <v>1083</v>
      </c>
      <c r="L523" s="35">
        <v>116800</v>
      </c>
    </row>
    <row r="524" spans="1:12" x14ac:dyDescent="0.25">
      <c r="A524">
        <v>0</v>
      </c>
      <c r="B524" t="s">
        <v>244</v>
      </c>
      <c r="C524" s="18">
        <v>45658</v>
      </c>
      <c r="D524" t="str">
        <f>"8232"</f>
        <v>8232</v>
      </c>
      <c r="E524" s="18">
        <v>45205</v>
      </c>
      <c r="F524" t="str">
        <f>"2052"</f>
        <v>2052</v>
      </c>
      <c r="G524" t="s">
        <v>247</v>
      </c>
      <c r="H524" t="s">
        <v>1084</v>
      </c>
      <c r="L524" s="35">
        <v>772000</v>
      </c>
    </row>
    <row r="525" spans="1:12" x14ac:dyDescent="0.25">
      <c r="A525">
        <v>0</v>
      </c>
      <c r="B525" t="s">
        <v>244</v>
      </c>
      <c r="C525" s="18">
        <v>45658</v>
      </c>
      <c r="D525" t="str">
        <f>"8233"</f>
        <v>8233</v>
      </c>
      <c r="E525" s="18">
        <v>45205</v>
      </c>
      <c r="F525" t="s">
        <v>1085</v>
      </c>
      <c r="G525" t="s">
        <v>247</v>
      </c>
      <c r="H525" t="s">
        <v>1086</v>
      </c>
      <c r="L525" s="35">
        <v>296160</v>
      </c>
    </row>
    <row r="526" spans="1:12" x14ac:dyDescent="0.25">
      <c r="A526">
        <v>0</v>
      </c>
      <c r="B526" t="s">
        <v>244</v>
      </c>
      <c r="C526" s="18">
        <v>45658</v>
      </c>
      <c r="D526" t="str">
        <f>"8234"</f>
        <v>8234</v>
      </c>
      <c r="E526" s="18">
        <v>45220</v>
      </c>
      <c r="F526" s="18">
        <v>45141</v>
      </c>
      <c r="G526" t="s">
        <v>247</v>
      </c>
      <c r="H526" t="s">
        <v>1087</v>
      </c>
      <c r="L526" s="35">
        <v>64000</v>
      </c>
    </row>
    <row r="527" spans="1:12" x14ac:dyDescent="0.25">
      <c r="A527">
        <v>0</v>
      </c>
      <c r="B527" t="s">
        <v>244</v>
      </c>
      <c r="C527" s="18">
        <v>45658</v>
      </c>
      <c r="D527" t="str">
        <f>"8235"</f>
        <v>8235</v>
      </c>
      <c r="E527" s="18">
        <v>45220</v>
      </c>
      <c r="F527" t="s">
        <v>1088</v>
      </c>
      <c r="G527" t="s">
        <v>247</v>
      </c>
      <c r="H527" t="s">
        <v>1089</v>
      </c>
      <c r="L527" s="35">
        <v>96000</v>
      </c>
    </row>
    <row r="528" spans="1:12" x14ac:dyDescent="0.25">
      <c r="A528">
        <v>0</v>
      </c>
      <c r="B528" t="s">
        <v>244</v>
      </c>
      <c r="C528" s="18">
        <v>45658</v>
      </c>
      <c r="D528" t="str">
        <f>"8236"</f>
        <v>8236</v>
      </c>
      <c r="E528" s="18">
        <v>45206</v>
      </c>
      <c r="F528" t="str">
        <f>"544174"</f>
        <v>544174</v>
      </c>
      <c r="G528" t="s">
        <v>247</v>
      </c>
      <c r="H528" t="s">
        <v>1090</v>
      </c>
      <c r="L528" s="35">
        <v>71562</v>
      </c>
    </row>
    <row r="529" spans="1:12" x14ac:dyDescent="0.25">
      <c r="A529">
        <v>0</v>
      </c>
      <c r="B529" t="s">
        <v>244</v>
      </c>
      <c r="C529" s="18">
        <v>45658</v>
      </c>
      <c r="D529" t="str">
        <f>"8237"</f>
        <v>8237</v>
      </c>
      <c r="E529" s="18">
        <v>45227</v>
      </c>
      <c r="F529" t="str">
        <f>"14923"</f>
        <v>14923</v>
      </c>
      <c r="G529" t="s">
        <v>247</v>
      </c>
      <c r="H529" t="s">
        <v>1091</v>
      </c>
      <c r="L529" s="35">
        <v>80000</v>
      </c>
    </row>
    <row r="530" spans="1:12" x14ac:dyDescent="0.25">
      <c r="A530">
        <v>0</v>
      </c>
      <c r="B530" t="s">
        <v>244</v>
      </c>
      <c r="C530" s="18">
        <v>45658</v>
      </c>
      <c r="D530" t="str">
        <f>"8238"</f>
        <v>8238</v>
      </c>
      <c r="E530" t="str">
        <f>"00013036"</f>
        <v>00013036</v>
      </c>
      <c r="G530" t="s">
        <v>247</v>
      </c>
      <c r="H530" t="s">
        <v>1092</v>
      </c>
      <c r="L530" s="35">
        <v>17124239.530000001</v>
      </c>
    </row>
    <row r="531" spans="1:12" x14ac:dyDescent="0.25">
      <c r="A531">
        <v>0</v>
      </c>
      <c r="B531" t="s">
        <v>244</v>
      </c>
      <c r="C531" s="18">
        <v>45658</v>
      </c>
      <c r="D531" t="str">
        <f>"8239"</f>
        <v>8239</v>
      </c>
      <c r="E531" s="18">
        <v>45213</v>
      </c>
      <c r="F531" t="str">
        <f>"6"</f>
        <v>6</v>
      </c>
      <c r="G531" t="s">
        <v>247</v>
      </c>
      <c r="H531" t="s">
        <v>1093</v>
      </c>
      <c r="L531" s="35">
        <v>20000</v>
      </c>
    </row>
    <row r="532" spans="1:12" x14ac:dyDescent="0.25">
      <c r="A532">
        <v>0</v>
      </c>
      <c r="B532" t="s">
        <v>244</v>
      </c>
      <c r="C532" s="18">
        <v>45658</v>
      </c>
      <c r="D532" t="str">
        <f>"8240"</f>
        <v>8240</v>
      </c>
      <c r="E532" s="18">
        <v>45233</v>
      </c>
      <c r="F532" t="str">
        <f>"14292"</f>
        <v>14292</v>
      </c>
      <c r="G532" t="s">
        <v>247</v>
      </c>
      <c r="H532" t="s">
        <v>1094</v>
      </c>
      <c r="L532" s="35">
        <v>74040</v>
      </c>
    </row>
    <row r="533" spans="1:12" x14ac:dyDescent="0.25">
      <c r="A533">
        <v>0</v>
      </c>
      <c r="B533" t="s">
        <v>244</v>
      </c>
      <c r="C533" s="18">
        <v>45658</v>
      </c>
      <c r="D533" t="str">
        <f>"8241"</f>
        <v>8241</v>
      </c>
      <c r="E533" s="18">
        <v>45233</v>
      </c>
      <c r="F533" t="s">
        <v>1095</v>
      </c>
      <c r="G533" t="s">
        <v>247</v>
      </c>
      <c r="H533" t="s">
        <v>1096</v>
      </c>
      <c r="L533" s="35">
        <v>28000</v>
      </c>
    </row>
    <row r="534" spans="1:12" x14ac:dyDescent="0.25">
      <c r="A534">
        <v>0</v>
      </c>
      <c r="B534" t="s">
        <v>244</v>
      </c>
      <c r="C534" s="18">
        <v>45658</v>
      </c>
      <c r="D534" t="str">
        <f>"8242"</f>
        <v>8242</v>
      </c>
      <c r="E534" s="18">
        <v>45233</v>
      </c>
      <c r="F534" t="s">
        <v>1097</v>
      </c>
      <c r="G534" t="s">
        <v>247</v>
      </c>
      <c r="H534" t="s">
        <v>1098</v>
      </c>
      <c r="L534" s="35">
        <v>48000</v>
      </c>
    </row>
    <row r="535" spans="1:12" x14ac:dyDescent="0.25">
      <c r="A535">
        <v>0</v>
      </c>
      <c r="B535" t="s">
        <v>244</v>
      </c>
      <c r="C535" s="18">
        <v>45658</v>
      </c>
      <c r="D535" t="str">
        <f>"8243"</f>
        <v>8243</v>
      </c>
      <c r="E535" s="18">
        <v>45233</v>
      </c>
      <c r="F535" t="s">
        <v>1099</v>
      </c>
      <c r="G535" t="s">
        <v>247</v>
      </c>
      <c r="H535" t="s">
        <v>1100</v>
      </c>
      <c r="L535" s="35">
        <v>96000</v>
      </c>
    </row>
    <row r="536" spans="1:12" x14ac:dyDescent="0.25">
      <c r="A536">
        <v>0</v>
      </c>
      <c r="B536" t="s">
        <v>244</v>
      </c>
      <c r="C536" s="18">
        <v>45658</v>
      </c>
      <c r="D536" t="str">
        <f>"8244"</f>
        <v>8244</v>
      </c>
      <c r="E536" s="18">
        <v>45233</v>
      </c>
      <c r="F536" t="s">
        <v>1101</v>
      </c>
      <c r="G536" t="s">
        <v>247</v>
      </c>
      <c r="H536" t="s">
        <v>1102</v>
      </c>
      <c r="L536" s="35">
        <v>28000</v>
      </c>
    </row>
    <row r="537" spans="1:12" x14ac:dyDescent="0.25">
      <c r="A537">
        <v>0</v>
      </c>
      <c r="B537" t="s">
        <v>244</v>
      </c>
      <c r="C537" s="18">
        <v>45658</v>
      </c>
      <c r="D537" t="str">
        <f>"8245"</f>
        <v>8245</v>
      </c>
      <c r="E537" s="18">
        <v>45233</v>
      </c>
      <c r="F537" t="s">
        <v>1103</v>
      </c>
      <c r="G537" t="s">
        <v>247</v>
      </c>
      <c r="H537" t="s">
        <v>1104</v>
      </c>
      <c r="L537" s="35">
        <v>36000</v>
      </c>
    </row>
    <row r="538" spans="1:12" x14ac:dyDescent="0.25">
      <c r="A538">
        <v>0</v>
      </c>
      <c r="B538" t="s">
        <v>244</v>
      </c>
      <c r="C538" s="18">
        <v>45658</v>
      </c>
      <c r="D538" t="str">
        <f>"8246"</f>
        <v>8246</v>
      </c>
      <c r="E538" s="18">
        <v>45247</v>
      </c>
      <c r="F538" t="str">
        <f>"15379"</f>
        <v>15379</v>
      </c>
      <c r="G538" t="s">
        <v>247</v>
      </c>
      <c r="H538" t="s">
        <v>1105</v>
      </c>
      <c r="L538" s="35">
        <v>392000</v>
      </c>
    </row>
    <row r="539" spans="1:12" x14ac:dyDescent="0.25">
      <c r="A539">
        <v>0</v>
      </c>
      <c r="B539" t="s">
        <v>244</v>
      </c>
      <c r="C539" s="18">
        <v>45658</v>
      </c>
      <c r="D539" t="str">
        <f>"8247"</f>
        <v>8247</v>
      </c>
      <c r="E539" s="18">
        <v>45248</v>
      </c>
      <c r="F539" t="s">
        <v>1106</v>
      </c>
      <c r="G539" t="s">
        <v>247</v>
      </c>
      <c r="H539" t="s">
        <v>1107</v>
      </c>
      <c r="L539" s="35">
        <v>828000</v>
      </c>
    </row>
    <row r="540" spans="1:12" x14ac:dyDescent="0.25">
      <c r="A540">
        <v>0</v>
      </c>
      <c r="B540" t="s">
        <v>244</v>
      </c>
      <c r="C540" s="18">
        <v>45658</v>
      </c>
      <c r="D540" t="str">
        <f>"8248"</f>
        <v>8248</v>
      </c>
      <c r="E540" s="18">
        <v>45233</v>
      </c>
      <c r="F540" t="s">
        <v>1108</v>
      </c>
      <c r="G540" t="s">
        <v>247</v>
      </c>
      <c r="H540" t="s">
        <v>1109</v>
      </c>
      <c r="L540" s="35">
        <v>3038400</v>
      </c>
    </row>
    <row r="541" spans="1:12" x14ac:dyDescent="0.25">
      <c r="A541">
        <v>0</v>
      </c>
      <c r="B541" t="s">
        <v>244</v>
      </c>
      <c r="C541" s="18">
        <v>45658</v>
      </c>
      <c r="D541" t="str">
        <f>"8249"</f>
        <v>8249</v>
      </c>
      <c r="E541" s="18">
        <v>45233</v>
      </c>
      <c r="F541" t="str">
        <f>"330506"</f>
        <v>330506</v>
      </c>
      <c r="G541" t="s">
        <v>247</v>
      </c>
      <c r="H541" t="s">
        <v>1110</v>
      </c>
      <c r="L541" s="35">
        <v>1200000</v>
      </c>
    </row>
    <row r="542" spans="1:12" x14ac:dyDescent="0.25">
      <c r="A542">
        <v>0</v>
      </c>
      <c r="B542" t="s">
        <v>244</v>
      </c>
      <c r="C542" s="18">
        <v>45658</v>
      </c>
      <c r="D542" t="str">
        <f>"8250"</f>
        <v>8250</v>
      </c>
      <c r="E542" s="18">
        <v>45254</v>
      </c>
      <c r="F542" t="str">
        <f>"15448"</f>
        <v>15448</v>
      </c>
      <c r="G542" t="s">
        <v>247</v>
      </c>
      <c r="H542" t="s">
        <v>1111</v>
      </c>
      <c r="L542" s="35">
        <v>1012000</v>
      </c>
    </row>
    <row r="543" spans="1:12" x14ac:dyDescent="0.25">
      <c r="A543">
        <v>0</v>
      </c>
      <c r="B543" t="s">
        <v>244</v>
      </c>
      <c r="C543" s="18">
        <v>45658</v>
      </c>
      <c r="D543" t="str">
        <f>"8251"</f>
        <v>8251</v>
      </c>
      <c r="E543" s="18">
        <v>45247</v>
      </c>
      <c r="F543" t="s">
        <v>1112</v>
      </c>
      <c r="G543" t="s">
        <v>247</v>
      </c>
      <c r="H543" t="s">
        <v>1113</v>
      </c>
      <c r="L543" s="35">
        <v>81200</v>
      </c>
    </row>
    <row r="544" spans="1:12" x14ac:dyDescent="0.25">
      <c r="A544">
        <v>0</v>
      </c>
      <c r="B544" t="s">
        <v>244</v>
      </c>
      <c r="C544" s="18">
        <v>45658</v>
      </c>
      <c r="D544" t="str">
        <f>"8252"</f>
        <v>8252</v>
      </c>
      <c r="E544" s="18">
        <v>45240</v>
      </c>
      <c r="F544" t="str">
        <f>"243118"</f>
        <v>243118</v>
      </c>
      <c r="G544" t="s">
        <v>247</v>
      </c>
      <c r="H544" t="s">
        <v>1114</v>
      </c>
      <c r="L544" s="35">
        <v>78400</v>
      </c>
    </row>
    <row r="545" spans="1:12" x14ac:dyDescent="0.25">
      <c r="A545">
        <v>0</v>
      </c>
      <c r="B545" t="s">
        <v>250</v>
      </c>
      <c r="C545" s="18">
        <v>45849</v>
      </c>
      <c r="D545" t="str">
        <f>"8252"</f>
        <v>8252</v>
      </c>
      <c r="E545" s="18">
        <v>45849</v>
      </c>
      <c r="F545" t="str">
        <f>"24731"</f>
        <v>24731</v>
      </c>
      <c r="G545" t="s">
        <v>247</v>
      </c>
      <c r="H545" t="s">
        <v>613</v>
      </c>
      <c r="L545" s="35">
        <v>2018400</v>
      </c>
    </row>
    <row r="546" spans="1:12" x14ac:dyDescent="0.25">
      <c r="A546">
        <v>0</v>
      </c>
      <c r="B546" t="s">
        <v>244</v>
      </c>
      <c r="C546" s="18">
        <v>45658</v>
      </c>
      <c r="D546" t="str">
        <f>"8253"</f>
        <v>8253</v>
      </c>
      <c r="E546" s="18">
        <v>45254</v>
      </c>
      <c r="F546" t="s">
        <v>1115</v>
      </c>
      <c r="G546" t="s">
        <v>247</v>
      </c>
      <c r="H546" t="s">
        <v>1116</v>
      </c>
      <c r="L546" s="35">
        <v>419280</v>
      </c>
    </row>
    <row r="547" spans="1:12" x14ac:dyDescent="0.25">
      <c r="A547">
        <v>0</v>
      </c>
      <c r="B547" t="s">
        <v>244</v>
      </c>
      <c r="C547" s="18">
        <v>45658</v>
      </c>
      <c r="D547" t="str">
        <f>"8254"</f>
        <v>8254</v>
      </c>
      <c r="E547" s="18">
        <v>45250</v>
      </c>
      <c r="F547" t="s">
        <v>1117</v>
      </c>
      <c r="G547" t="s">
        <v>247</v>
      </c>
      <c r="H547" t="s">
        <v>1118</v>
      </c>
      <c r="L547" s="35">
        <v>572040</v>
      </c>
    </row>
    <row r="548" spans="1:12" x14ac:dyDescent="0.25">
      <c r="A548">
        <v>0</v>
      </c>
      <c r="B548" t="s">
        <v>244</v>
      </c>
      <c r="C548" s="18">
        <v>45658</v>
      </c>
      <c r="D548" t="str">
        <f>"8255"</f>
        <v>8255</v>
      </c>
      <c r="E548" s="18">
        <v>45233</v>
      </c>
      <c r="F548" t="s">
        <v>1119</v>
      </c>
      <c r="G548" t="s">
        <v>247</v>
      </c>
      <c r="H548" t="s">
        <v>1120</v>
      </c>
      <c r="L548" s="35">
        <v>1200000</v>
      </c>
    </row>
    <row r="549" spans="1:12" x14ac:dyDescent="0.25">
      <c r="A549">
        <v>0</v>
      </c>
      <c r="B549" t="s">
        <v>244</v>
      </c>
      <c r="C549" s="18">
        <v>45658</v>
      </c>
      <c r="D549" t="str">
        <f>"8256"</f>
        <v>8256</v>
      </c>
      <c r="E549" s="18">
        <v>45233</v>
      </c>
      <c r="F549" t="s">
        <v>1121</v>
      </c>
      <c r="G549" t="s">
        <v>247</v>
      </c>
      <c r="H549" t="s">
        <v>1122</v>
      </c>
      <c r="L549" s="35">
        <v>128000</v>
      </c>
    </row>
    <row r="550" spans="1:12" x14ac:dyDescent="0.25">
      <c r="A550">
        <v>0</v>
      </c>
      <c r="B550" t="s">
        <v>244</v>
      </c>
      <c r="C550" s="18">
        <v>45658</v>
      </c>
      <c r="D550" t="str">
        <f>"8257"</f>
        <v>8257</v>
      </c>
      <c r="E550" s="18">
        <v>45235</v>
      </c>
      <c r="F550" t="str">
        <f>"354575"</f>
        <v>354575</v>
      </c>
      <c r="G550" t="s">
        <v>247</v>
      </c>
      <c r="H550" t="s">
        <v>1123</v>
      </c>
      <c r="L550" s="35">
        <v>16000</v>
      </c>
    </row>
    <row r="551" spans="1:12" x14ac:dyDescent="0.25">
      <c r="A551">
        <v>0</v>
      </c>
      <c r="B551" t="s">
        <v>244</v>
      </c>
      <c r="C551" s="18">
        <v>45658</v>
      </c>
      <c r="D551" t="str">
        <f>"8258"</f>
        <v>8258</v>
      </c>
      <c r="E551" s="18">
        <v>45240</v>
      </c>
      <c r="F551" t="s">
        <v>1124</v>
      </c>
      <c r="G551" t="s">
        <v>247</v>
      </c>
      <c r="H551" t="s">
        <v>1125</v>
      </c>
      <c r="L551" s="35">
        <v>28000</v>
      </c>
    </row>
    <row r="552" spans="1:12" x14ac:dyDescent="0.25">
      <c r="A552">
        <v>0</v>
      </c>
      <c r="B552" t="s">
        <v>244</v>
      </c>
      <c r="C552" s="18">
        <v>45658</v>
      </c>
      <c r="D552" t="str">
        <f>"8259"</f>
        <v>8259</v>
      </c>
      <c r="E552" s="18">
        <v>45240</v>
      </c>
      <c r="F552" t="s">
        <v>1126</v>
      </c>
      <c r="G552" t="s">
        <v>247</v>
      </c>
      <c r="H552" t="s">
        <v>1127</v>
      </c>
      <c r="L552" s="35">
        <v>578400</v>
      </c>
    </row>
    <row r="553" spans="1:12" x14ac:dyDescent="0.25">
      <c r="A553">
        <v>0</v>
      </c>
      <c r="B553" t="s">
        <v>244</v>
      </c>
      <c r="C553" s="18">
        <v>45658</v>
      </c>
      <c r="D553" t="str">
        <f>"8260"</f>
        <v>8260</v>
      </c>
      <c r="E553" s="18">
        <v>45240</v>
      </c>
      <c r="F553" t="s">
        <v>1128</v>
      </c>
      <c r="G553" t="s">
        <v>247</v>
      </c>
      <c r="H553" t="s">
        <v>1129</v>
      </c>
      <c r="L553" s="35">
        <v>1113520</v>
      </c>
    </row>
    <row r="554" spans="1:12" x14ac:dyDescent="0.25">
      <c r="A554">
        <v>0</v>
      </c>
      <c r="B554" t="s">
        <v>244</v>
      </c>
      <c r="C554" s="18">
        <v>45658</v>
      </c>
      <c r="D554" t="str">
        <f>"8261"</f>
        <v>8261</v>
      </c>
      <c r="E554" s="18">
        <v>45246</v>
      </c>
      <c r="F554" t="s">
        <v>1130</v>
      </c>
      <c r="G554" t="s">
        <v>247</v>
      </c>
      <c r="H554" t="s">
        <v>1131</v>
      </c>
      <c r="L554" s="35">
        <v>28000</v>
      </c>
    </row>
    <row r="555" spans="1:12" x14ac:dyDescent="0.25">
      <c r="A555">
        <v>0</v>
      </c>
      <c r="B555" t="s">
        <v>244</v>
      </c>
      <c r="C555" s="18">
        <v>45658</v>
      </c>
      <c r="D555" t="str">
        <f>"8262"</f>
        <v>8262</v>
      </c>
      <c r="E555" s="18">
        <v>45250</v>
      </c>
      <c r="F555" t="s">
        <v>1132</v>
      </c>
      <c r="G555" t="s">
        <v>247</v>
      </c>
      <c r="H555" t="s">
        <v>1133</v>
      </c>
      <c r="L555" s="35">
        <v>326720</v>
      </c>
    </row>
    <row r="556" spans="1:12" x14ac:dyDescent="0.25">
      <c r="A556">
        <v>0</v>
      </c>
      <c r="B556" t="s">
        <v>244</v>
      </c>
      <c r="C556" s="18">
        <v>45658</v>
      </c>
      <c r="D556" t="str">
        <f>"8263"</f>
        <v>8263</v>
      </c>
      <c r="E556" s="18">
        <v>45268</v>
      </c>
      <c r="F556" t="str">
        <f>"15540"</f>
        <v>15540</v>
      </c>
      <c r="G556" t="s">
        <v>247</v>
      </c>
      <c r="H556" t="s">
        <v>1134</v>
      </c>
      <c r="L556" s="35">
        <v>408000</v>
      </c>
    </row>
    <row r="557" spans="1:12" x14ac:dyDescent="0.25">
      <c r="A557">
        <v>0</v>
      </c>
      <c r="B557" t="s">
        <v>244</v>
      </c>
      <c r="C557" s="18">
        <v>45658</v>
      </c>
      <c r="D557" t="str">
        <f>"8264"</f>
        <v>8264</v>
      </c>
      <c r="E557" s="18">
        <v>45268</v>
      </c>
      <c r="F557" t="str">
        <f>"15541"</f>
        <v>15541</v>
      </c>
      <c r="G557" t="s">
        <v>247</v>
      </c>
      <c r="H557" t="s">
        <v>1135</v>
      </c>
      <c r="L557" s="35">
        <v>280000</v>
      </c>
    </row>
    <row r="558" spans="1:12" x14ac:dyDescent="0.25">
      <c r="A558">
        <v>0</v>
      </c>
      <c r="B558" t="s">
        <v>244</v>
      </c>
      <c r="C558" s="18">
        <v>45658</v>
      </c>
      <c r="D558" t="str">
        <f>"8265"</f>
        <v>8265</v>
      </c>
      <c r="E558" s="18">
        <v>45268</v>
      </c>
      <c r="F558" t="str">
        <f>"15542"</f>
        <v>15542</v>
      </c>
      <c r="G558" t="s">
        <v>247</v>
      </c>
      <c r="H558" t="s">
        <v>1136</v>
      </c>
      <c r="L558" s="35">
        <v>56000</v>
      </c>
    </row>
    <row r="559" spans="1:12" x14ac:dyDescent="0.25">
      <c r="A559">
        <v>0</v>
      </c>
      <c r="B559" t="s">
        <v>244</v>
      </c>
      <c r="C559" s="18">
        <v>45658</v>
      </c>
      <c r="D559" t="str">
        <f>"8266"</f>
        <v>8266</v>
      </c>
      <c r="E559" s="18">
        <v>45264</v>
      </c>
      <c r="F559" t="str">
        <f>"230623"</f>
        <v>230623</v>
      </c>
      <c r="G559" t="s">
        <v>247</v>
      </c>
      <c r="H559" t="s">
        <v>1137</v>
      </c>
      <c r="L559" s="35">
        <v>65600</v>
      </c>
    </row>
    <row r="560" spans="1:12" x14ac:dyDescent="0.25">
      <c r="A560">
        <v>0</v>
      </c>
      <c r="B560" t="s">
        <v>244</v>
      </c>
      <c r="C560" s="18">
        <v>45658</v>
      </c>
      <c r="D560" t="str">
        <f>"8267"</f>
        <v>8267</v>
      </c>
      <c r="E560" s="18">
        <v>45266</v>
      </c>
      <c r="F560" t="s">
        <v>1138</v>
      </c>
      <c r="G560" t="s">
        <v>247</v>
      </c>
      <c r="H560" t="s">
        <v>1139</v>
      </c>
      <c r="L560" s="35">
        <v>209600</v>
      </c>
    </row>
    <row r="561" spans="1:13" x14ac:dyDescent="0.25">
      <c r="A561">
        <v>0</v>
      </c>
      <c r="B561" t="s">
        <v>244</v>
      </c>
      <c r="C561" s="18">
        <v>45658</v>
      </c>
      <c r="D561" t="str">
        <f>"8268"</f>
        <v>8268</v>
      </c>
      <c r="E561" s="18">
        <v>45266</v>
      </c>
      <c r="F561" t="str">
        <f>"344"</f>
        <v>344</v>
      </c>
      <c r="G561" t="s">
        <v>247</v>
      </c>
      <c r="H561" t="s">
        <v>1140</v>
      </c>
      <c r="L561" s="35">
        <v>500000</v>
      </c>
    </row>
    <row r="562" spans="1:13" x14ac:dyDescent="0.25">
      <c r="A562">
        <v>0</v>
      </c>
      <c r="B562" t="s">
        <v>244</v>
      </c>
      <c r="C562" s="18">
        <v>45658</v>
      </c>
      <c r="D562" t="str">
        <f>"8269"</f>
        <v>8269</v>
      </c>
      <c r="E562" s="18">
        <v>45272</v>
      </c>
      <c r="F562" t="s">
        <v>1141</v>
      </c>
      <c r="G562" t="s">
        <v>247</v>
      </c>
      <c r="H562" t="s">
        <v>1142</v>
      </c>
      <c r="L562" s="35">
        <v>28000</v>
      </c>
    </row>
    <row r="563" spans="1:13" x14ac:dyDescent="0.25">
      <c r="A563">
        <v>0</v>
      </c>
      <c r="B563" t="s">
        <v>244</v>
      </c>
      <c r="C563" s="18">
        <v>45658</v>
      </c>
      <c r="D563" t="str">
        <f>"8270"</f>
        <v>8270</v>
      </c>
      <c r="E563" s="18">
        <v>45275</v>
      </c>
      <c r="F563" t="str">
        <f>"15633"</f>
        <v>15633</v>
      </c>
      <c r="G563" t="s">
        <v>247</v>
      </c>
      <c r="H563" t="s">
        <v>1143</v>
      </c>
      <c r="L563" s="35">
        <v>80000</v>
      </c>
    </row>
    <row r="564" spans="1:13" x14ac:dyDescent="0.25">
      <c r="A564">
        <v>0</v>
      </c>
      <c r="B564" t="s">
        <v>244</v>
      </c>
      <c r="C564" s="18">
        <v>45658</v>
      </c>
      <c r="D564" t="str">
        <f>"8271"</f>
        <v>8271</v>
      </c>
      <c r="E564" s="18">
        <v>45275</v>
      </c>
      <c r="F564" t="str">
        <f>"15634"</f>
        <v>15634</v>
      </c>
      <c r="G564" t="s">
        <v>247</v>
      </c>
      <c r="H564" t="s">
        <v>1144</v>
      </c>
      <c r="L564" s="35">
        <v>152000</v>
      </c>
    </row>
    <row r="565" spans="1:13" x14ac:dyDescent="0.25">
      <c r="A565">
        <v>0</v>
      </c>
      <c r="B565" t="s">
        <v>244</v>
      </c>
      <c r="C565" s="18">
        <v>45658</v>
      </c>
      <c r="D565" t="str">
        <f>"8272"</f>
        <v>8272</v>
      </c>
      <c r="E565" s="18">
        <v>45191</v>
      </c>
      <c r="G565" t="s">
        <v>247</v>
      </c>
      <c r="H565" t="s">
        <v>1145</v>
      </c>
      <c r="M565" s="35">
        <v>49397062</v>
      </c>
    </row>
    <row r="566" spans="1:13" x14ac:dyDescent="0.25">
      <c r="A566">
        <v>0</v>
      </c>
      <c r="B566" t="s">
        <v>244</v>
      </c>
      <c r="C566" s="18">
        <v>45658</v>
      </c>
      <c r="D566" t="str">
        <f>"8273"</f>
        <v>8273</v>
      </c>
      <c r="E566" s="18">
        <v>45048</v>
      </c>
      <c r="G566" t="s">
        <v>247</v>
      </c>
      <c r="H566" t="s">
        <v>1146</v>
      </c>
      <c r="M566" s="35">
        <v>37614282.789999999</v>
      </c>
    </row>
    <row r="567" spans="1:13" x14ac:dyDescent="0.25">
      <c r="A567">
        <v>0</v>
      </c>
      <c r="B567" t="s">
        <v>244</v>
      </c>
      <c r="C567" s="18">
        <v>45658</v>
      </c>
      <c r="D567" t="str">
        <f>"8274"</f>
        <v>8274</v>
      </c>
      <c r="E567" s="18">
        <v>45293</v>
      </c>
      <c r="F567" t="s">
        <v>1147</v>
      </c>
      <c r="G567" t="s">
        <v>247</v>
      </c>
      <c r="H567" t="s">
        <v>1148</v>
      </c>
      <c r="L567" s="35">
        <v>28000</v>
      </c>
    </row>
    <row r="568" spans="1:13" x14ac:dyDescent="0.25">
      <c r="A568">
        <v>0</v>
      </c>
      <c r="B568" t="s">
        <v>244</v>
      </c>
      <c r="C568" s="18">
        <v>45658</v>
      </c>
      <c r="D568" t="str">
        <f>"8275"</f>
        <v>8275</v>
      </c>
      <c r="E568" s="18">
        <v>45293</v>
      </c>
      <c r="F568" t="s">
        <v>1149</v>
      </c>
      <c r="G568" t="s">
        <v>247</v>
      </c>
      <c r="H568" t="s">
        <v>1150</v>
      </c>
      <c r="L568" s="35">
        <v>184400</v>
      </c>
    </row>
    <row r="569" spans="1:13" x14ac:dyDescent="0.25">
      <c r="A569">
        <v>0</v>
      </c>
      <c r="B569" t="s">
        <v>244</v>
      </c>
      <c r="C569" s="18">
        <v>45658</v>
      </c>
      <c r="D569" t="str">
        <f>"8276"</f>
        <v>8276</v>
      </c>
      <c r="E569" s="18">
        <v>45295</v>
      </c>
      <c r="F569" t="str">
        <f>"007128"</f>
        <v>007128</v>
      </c>
      <c r="G569" t="s">
        <v>247</v>
      </c>
      <c r="H569" t="s">
        <v>1151</v>
      </c>
      <c r="L569" s="35">
        <v>26000</v>
      </c>
    </row>
    <row r="570" spans="1:13" x14ac:dyDescent="0.25">
      <c r="A570">
        <v>0</v>
      </c>
      <c r="B570" t="s">
        <v>244</v>
      </c>
      <c r="C570" s="18">
        <v>45658</v>
      </c>
      <c r="D570" t="str">
        <f>"8277"</f>
        <v>8277</v>
      </c>
      <c r="E570" s="18">
        <v>45296</v>
      </c>
      <c r="F570" t="str">
        <f>"568781"</f>
        <v>568781</v>
      </c>
      <c r="G570" t="s">
        <v>247</v>
      </c>
      <c r="H570" t="s">
        <v>1152</v>
      </c>
      <c r="L570" s="35">
        <v>193776</v>
      </c>
    </row>
    <row r="571" spans="1:13" x14ac:dyDescent="0.25">
      <c r="A571">
        <v>0</v>
      </c>
      <c r="B571" t="s">
        <v>244</v>
      </c>
      <c r="C571" s="18">
        <v>45658</v>
      </c>
      <c r="D571" t="str">
        <f>"8278"</f>
        <v>8278</v>
      </c>
      <c r="E571" s="18">
        <v>45299</v>
      </c>
      <c r="F571" t="s">
        <v>1153</v>
      </c>
      <c r="G571" t="s">
        <v>247</v>
      </c>
      <c r="H571" t="s">
        <v>1154</v>
      </c>
      <c r="L571" s="35">
        <v>19200</v>
      </c>
    </row>
    <row r="572" spans="1:13" x14ac:dyDescent="0.25">
      <c r="A572">
        <v>0</v>
      </c>
      <c r="B572" t="s">
        <v>244</v>
      </c>
      <c r="C572" s="18">
        <v>45658</v>
      </c>
      <c r="D572" t="str">
        <f>"8279"</f>
        <v>8279</v>
      </c>
      <c r="E572" s="18">
        <v>45299</v>
      </c>
      <c r="F572" t="str">
        <f>"202401004"</f>
        <v>202401004</v>
      </c>
      <c r="G572" t="s">
        <v>247</v>
      </c>
      <c r="H572" t="s">
        <v>1155</v>
      </c>
      <c r="L572" s="35">
        <v>36000</v>
      </c>
    </row>
    <row r="573" spans="1:13" x14ac:dyDescent="0.25">
      <c r="A573">
        <v>0</v>
      </c>
      <c r="B573" t="s">
        <v>244</v>
      </c>
      <c r="C573" s="18">
        <v>45658</v>
      </c>
      <c r="D573" t="str">
        <f>"8280"</f>
        <v>8280</v>
      </c>
      <c r="E573" s="18">
        <v>45299</v>
      </c>
      <c r="F573" s="18">
        <v>45202</v>
      </c>
      <c r="G573" t="s">
        <v>247</v>
      </c>
      <c r="H573" t="s">
        <v>1156</v>
      </c>
      <c r="L573" s="35">
        <v>48800</v>
      </c>
    </row>
    <row r="574" spans="1:13" x14ac:dyDescent="0.25">
      <c r="A574">
        <v>0</v>
      </c>
      <c r="B574" t="s">
        <v>244</v>
      </c>
      <c r="C574" s="18">
        <v>45658</v>
      </c>
      <c r="D574" t="str">
        <f>"8281"</f>
        <v>8281</v>
      </c>
      <c r="E574" s="18">
        <v>45301</v>
      </c>
      <c r="F574" s="18">
        <v>45263</v>
      </c>
      <c r="G574" t="s">
        <v>247</v>
      </c>
      <c r="H574" t="s">
        <v>1157</v>
      </c>
      <c r="L574" s="35">
        <v>45200</v>
      </c>
    </row>
    <row r="575" spans="1:13" x14ac:dyDescent="0.25">
      <c r="A575">
        <v>0</v>
      </c>
      <c r="B575" t="s">
        <v>244</v>
      </c>
      <c r="C575" s="18">
        <v>45658</v>
      </c>
      <c r="D575" t="str">
        <f>"8282"</f>
        <v>8282</v>
      </c>
      <c r="E575" s="18">
        <v>45301</v>
      </c>
      <c r="F575" t="s">
        <v>1158</v>
      </c>
      <c r="G575" t="s">
        <v>247</v>
      </c>
      <c r="H575" t="s">
        <v>1159</v>
      </c>
      <c r="L575" s="35">
        <v>95680</v>
      </c>
    </row>
    <row r="576" spans="1:13" x14ac:dyDescent="0.25">
      <c r="A576">
        <v>0</v>
      </c>
      <c r="B576" t="s">
        <v>244</v>
      </c>
      <c r="C576" s="18">
        <v>45658</v>
      </c>
      <c r="D576" t="str">
        <f>"8283"</f>
        <v>8283</v>
      </c>
      <c r="E576" s="18">
        <v>45301</v>
      </c>
      <c r="F576" t="s">
        <v>1160</v>
      </c>
      <c r="G576" t="s">
        <v>247</v>
      </c>
      <c r="H576" t="s">
        <v>1161</v>
      </c>
      <c r="L576" s="35">
        <v>102640</v>
      </c>
    </row>
    <row r="577" spans="1:12" x14ac:dyDescent="0.25">
      <c r="A577">
        <v>0</v>
      </c>
      <c r="B577" t="s">
        <v>244</v>
      </c>
      <c r="C577" s="18">
        <v>45658</v>
      </c>
      <c r="D577" t="str">
        <f>"8284"</f>
        <v>8284</v>
      </c>
      <c r="E577" s="18">
        <v>45302</v>
      </c>
      <c r="F577" t="str">
        <f>"244718"</f>
        <v>244718</v>
      </c>
      <c r="G577" t="s">
        <v>247</v>
      </c>
      <c r="H577" t="s">
        <v>1162</v>
      </c>
      <c r="L577" s="35">
        <v>115520</v>
      </c>
    </row>
    <row r="578" spans="1:12" x14ac:dyDescent="0.25">
      <c r="A578">
        <v>0</v>
      </c>
      <c r="B578" t="s">
        <v>244</v>
      </c>
      <c r="C578" s="18">
        <v>45658</v>
      </c>
      <c r="D578" t="str">
        <f>"8285"</f>
        <v>8285</v>
      </c>
      <c r="E578" s="18">
        <v>45302</v>
      </c>
      <c r="F578" t="s">
        <v>1163</v>
      </c>
      <c r="G578" t="s">
        <v>247</v>
      </c>
      <c r="H578" t="s">
        <v>1164</v>
      </c>
      <c r="L578" s="35">
        <v>24000</v>
      </c>
    </row>
    <row r="579" spans="1:12" x14ac:dyDescent="0.25">
      <c r="A579">
        <v>0</v>
      </c>
      <c r="B579" t="s">
        <v>244</v>
      </c>
      <c r="C579" s="18">
        <v>45658</v>
      </c>
      <c r="D579" t="str">
        <f>"8286"</f>
        <v>8286</v>
      </c>
      <c r="E579" s="18">
        <v>45302</v>
      </c>
      <c r="F579" t="s">
        <v>1165</v>
      </c>
      <c r="G579" t="s">
        <v>247</v>
      </c>
      <c r="H579" t="s">
        <v>1166</v>
      </c>
      <c r="L579" s="35">
        <v>28000</v>
      </c>
    </row>
    <row r="580" spans="1:12" x14ac:dyDescent="0.25">
      <c r="A580">
        <v>0</v>
      </c>
      <c r="B580" t="s">
        <v>244</v>
      </c>
      <c r="C580" s="18">
        <v>45658</v>
      </c>
      <c r="D580" t="str">
        <f>"8287"</f>
        <v>8287</v>
      </c>
      <c r="E580" s="18">
        <v>45303</v>
      </c>
      <c r="F580" t="s">
        <v>1167</v>
      </c>
      <c r="G580" t="s">
        <v>247</v>
      </c>
      <c r="H580" t="s">
        <v>1168</v>
      </c>
      <c r="L580" s="35">
        <v>8160</v>
      </c>
    </row>
    <row r="581" spans="1:12" x14ac:dyDescent="0.25">
      <c r="A581">
        <v>0</v>
      </c>
      <c r="B581" t="s">
        <v>244</v>
      </c>
      <c r="C581" s="18">
        <v>45658</v>
      </c>
      <c r="D581" t="str">
        <f>"8288"</f>
        <v>8288</v>
      </c>
      <c r="E581" s="18">
        <v>45306</v>
      </c>
      <c r="F581" t="s">
        <v>1169</v>
      </c>
      <c r="G581" t="s">
        <v>247</v>
      </c>
      <c r="H581" t="s">
        <v>1170</v>
      </c>
      <c r="L581" s="35">
        <v>58480</v>
      </c>
    </row>
    <row r="582" spans="1:12" x14ac:dyDescent="0.25">
      <c r="A582">
        <v>0</v>
      </c>
      <c r="B582" t="s">
        <v>244</v>
      </c>
      <c r="C582" s="18">
        <v>45658</v>
      </c>
      <c r="D582" t="str">
        <f>"8289"</f>
        <v>8289</v>
      </c>
      <c r="E582" s="18">
        <v>45306</v>
      </c>
      <c r="F582" t="s">
        <v>1171</v>
      </c>
      <c r="G582" t="s">
        <v>247</v>
      </c>
      <c r="H582" t="s">
        <v>1172</v>
      </c>
      <c r="L582" s="35">
        <v>470560</v>
      </c>
    </row>
    <row r="583" spans="1:12" x14ac:dyDescent="0.25">
      <c r="A583">
        <v>0</v>
      </c>
      <c r="B583" t="s">
        <v>244</v>
      </c>
      <c r="C583" s="18">
        <v>45658</v>
      </c>
      <c r="D583" t="str">
        <f>"8290"</f>
        <v>8290</v>
      </c>
      <c r="E583" s="18">
        <v>45310</v>
      </c>
      <c r="F583" t="s">
        <v>1173</v>
      </c>
      <c r="G583" t="s">
        <v>247</v>
      </c>
      <c r="H583" t="s">
        <v>1174</v>
      </c>
      <c r="L583" s="35">
        <v>117920</v>
      </c>
    </row>
    <row r="584" spans="1:12" x14ac:dyDescent="0.25">
      <c r="A584">
        <v>0</v>
      </c>
      <c r="B584" t="s">
        <v>244</v>
      </c>
      <c r="C584" s="18">
        <v>45658</v>
      </c>
      <c r="D584" t="str">
        <f>"8291"</f>
        <v>8291</v>
      </c>
      <c r="E584" s="18">
        <v>45310</v>
      </c>
      <c r="F584" t="s">
        <v>1175</v>
      </c>
      <c r="G584" t="s">
        <v>247</v>
      </c>
      <c r="H584" t="s">
        <v>1176</v>
      </c>
      <c r="L584" s="35">
        <v>42640</v>
      </c>
    </row>
    <row r="585" spans="1:12" x14ac:dyDescent="0.25">
      <c r="A585">
        <v>0</v>
      </c>
      <c r="B585" t="s">
        <v>244</v>
      </c>
      <c r="C585" s="18">
        <v>45658</v>
      </c>
      <c r="D585" t="str">
        <f>"8292"</f>
        <v>8292</v>
      </c>
      <c r="E585" s="18">
        <v>45314</v>
      </c>
      <c r="F585" t="s">
        <v>1177</v>
      </c>
      <c r="G585" t="s">
        <v>247</v>
      </c>
      <c r="H585" t="s">
        <v>1178</v>
      </c>
      <c r="L585" s="35">
        <v>347360</v>
      </c>
    </row>
    <row r="586" spans="1:12" x14ac:dyDescent="0.25">
      <c r="A586">
        <v>0</v>
      </c>
      <c r="B586" t="s">
        <v>244</v>
      </c>
      <c r="C586" s="18">
        <v>45658</v>
      </c>
      <c r="D586" t="str">
        <f>"8293"</f>
        <v>8293</v>
      </c>
      <c r="E586" s="18">
        <v>45314</v>
      </c>
      <c r="F586" t="str">
        <f>"271223"</f>
        <v>271223</v>
      </c>
      <c r="G586" t="s">
        <v>247</v>
      </c>
      <c r="H586" t="s">
        <v>1179</v>
      </c>
      <c r="L586" s="35">
        <v>10000</v>
      </c>
    </row>
    <row r="587" spans="1:12" x14ac:dyDescent="0.25">
      <c r="A587">
        <v>0</v>
      </c>
      <c r="B587" t="s">
        <v>244</v>
      </c>
      <c r="C587" s="18">
        <v>45658</v>
      </c>
      <c r="D587" t="str">
        <f>"8294"</f>
        <v>8294</v>
      </c>
      <c r="E587" s="18">
        <v>45316</v>
      </c>
      <c r="F587" t="s">
        <v>1180</v>
      </c>
      <c r="G587" t="s">
        <v>247</v>
      </c>
      <c r="H587" t="s">
        <v>1181</v>
      </c>
      <c r="L587" s="35">
        <v>249600</v>
      </c>
    </row>
    <row r="588" spans="1:12" x14ac:dyDescent="0.25">
      <c r="A588">
        <v>0</v>
      </c>
      <c r="B588" t="s">
        <v>244</v>
      </c>
      <c r="C588" s="18">
        <v>45658</v>
      </c>
      <c r="D588" t="str">
        <f>"8295"</f>
        <v>8295</v>
      </c>
      <c r="E588" s="18">
        <v>45321</v>
      </c>
      <c r="F588" t="str">
        <f>"2347"</f>
        <v>2347</v>
      </c>
      <c r="G588" t="s">
        <v>247</v>
      </c>
      <c r="H588" t="s">
        <v>1182</v>
      </c>
      <c r="L588" s="35">
        <v>600000</v>
      </c>
    </row>
    <row r="589" spans="1:12" x14ac:dyDescent="0.25">
      <c r="A589">
        <v>0</v>
      </c>
      <c r="B589" t="s">
        <v>244</v>
      </c>
      <c r="C589" s="18">
        <v>45658</v>
      </c>
      <c r="D589" t="str">
        <f>"8296"</f>
        <v>8296</v>
      </c>
      <c r="E589" t="str">
        <f>"00013053"</f>
        <v>00013053</v>
      </c>
      <c r="G589" t="s">
        <v>247</v>
      </c>
      <c r="H589" t="s">
        <v>1183</v>
      </c>
      <c r="L589" s="35">
        <v>22553172.18</v>
      </c>
    </row>
    <row r="590" spans="1:12" x14ac:dyDescent="0.25">
      <c r="A590">
        <v>0</v>
      </c>
      <c r="B590" t="s">
        <v>244</v>
      </c>
      <c r="C590" s="18">
        <v>45658</v>
      </c>
      <c r="D590" t="str">
        <f>"8297"</f>
        <v>8297</v>
      </c>
      <c r="E590" s="18">
        <v>45324</v>
      </c>
      <c r="F590" t="s">
        <v>1184</v>
      </c>
      <c r="G590" t="s">
        <v>247</v>
      </c>
      <c r="H590" t="s">
        <v>1185</v>
      </c>
      <c r="L590" s="35">
        <v>28000</v>
      </c>
    </row>
    <row r="591" spans="1:12" x14ac:dyDescent="0.25">
      <c r="A591">
        <v>0</v>
      </c>
      <c r="B591" t="s">
        <v>244</v>
      </c>
      <c r="C591" s="18">
        <v>45658</v>
      </c>
      <c r="D591" t="str">
        <f>"8298"</f>
        <v>8298</v>
      </c>
      <c r="E591" s="18">
        <v>45324</v>
      </c>
      <c r="F591" t="s">
        <v>1186</v>
      </c>
      <c r="G591" t="s">
        <v>247</v>
      </c>
      <c r="H591" t="s">
        <v>1187</v>
      </c>
      <c r="L591" s="35">
        <v>85440</v>
      </c>
    </row>
    <row r="592" spans="1:12" x14ac:dyDescent="0.25">
      <c r="A592">
        <v>0</v>
      </c>
      <c r="B592" t="s">
        <v>244</v>
      </c>
      <c r="C592" s="18">
        <v>45658</v>
      </c>
      <c r="D592" t="str">
        <f>"8299"</f>
        <v>8299</v>
      </c>
      <c r="E592" s="18">
        <v>45327</v>
      </c>
      <c r="F592" t="str">
        <f>"071123"</f>
        <v>071123</v>
      </c>
      <c r="G592" t="s">
        <v>247</v>
      </c>
      <c r="H592" t="s">
        <v>1188</v>
      </c>
      <c r="L592" s="35">
        <v>750000</v>
      </c>
    </row>
    <row r="593" spans="1:12" x14ac:dyDescent="0.25">
      <c r="A593">
        <v>0</v>
      </c>
      <c r="B593" t="s">
        <v>244</v>
      </c>
      <c r="C593" s="18">
        <v>45658</v>
      </c>
      <c r="D593" t="str">
        <f>"8300"</f>
        <v>8300</v>
      </c>
      <c r="E593" s="18">
        <v>45327</v>
      </c>
      <c r="F593" t="s">
        <v>1189</v>
      </c>
      <c r="G593" t="s">
        <v>247</v>
      </c>
      <c r="H593" t="s">
        <v>1190</v>
      </c>
      <c r="L593" s="35">
        <v>484560</v>
      </c>
    </row>
    <row r="594" spans="1:12" x14ac:dyDescent="0.25">
      <c r="A594">
        <v>0</v>
      </c>
      <c r="B594" t="s">
        <v>244</v>
      </c>
      <c r="C594" s="18">
        <v>45658</v>
      </c>
      <c r="D594" t="str">
        <f>"8301"</f>
        <v>8301</v>
      </c>
      <c r="E594" s="18">
        <v>45327</v>
      </c>
      <c r="F594" t="s">
        <v>1191</v>
      </c>
      <c r="G594" t="s">
        <v>247</v>
      </c>
      <c r="H594" t="s">
        <v>1192</v>
      </c>
      <c r="L594" s="35">
        <v>12160</v>
      </c>
    </row>
    <row r="595" spans="1:12" x14ac:dyDescent="0.25">
      <c r="A595">
        <v>0</v>
      </c>
      <c r="B595" t="s">
        <v>244</v>
      </c>
      <c r="C595" s="18">
        <v>45658</v>
      </c>
      <c r="D595" t="str">
        <f>"8302"</f>
        <v>8302</v>
      </c>
      <c r="E595" s="18">
        <v>45327</v>
      </c>
      <c r="F595" t="s">
        <v>1193</v>
      </c>
      <c r="G595" t="s">
        <v>247</v>
      </c>
      <c r="H595" t="s">
        <v>1194</v>
      </c>
      <c r="L595" s="35">
        <v>203120</v>
      </c>
    </row>
    <row r="596" spans="1:12" x14ac:dyDescent="0.25">
      <c r="A596">
        <v>0</v>
      </c>
      <c r="B596" t="s">
        <v>244</v>
      </c>
      <c r="C596" s="18">
        <v>45658</v>
      </c>
      <c r="D596" t="str">
        <f>"8303"</f>
        <v>8303</v>
      </c>
      <c r="E596" s="18">
        <v>45327</v>
      </c>
      <c r="F596" t="s">
        <v>1195</v>
      </c>
      <c r="G596" t="s">
        <v>247</v>
      </c>
      <c r="H596" t="s">
        <v>1196</v>
      </c>
      <c r="L596" s="35">
        <v>149440</v>
      </c>
    </row>
    <row r="597" spans="1:12" x14ac:dyDescent="0.25">
      <c r="A597">
        <v>0</v>
      </c>
      <c r="B597" t="s">
        <v>244</v>
      </c>
      <c r="C597" s="18">
        <v>45658</v>
      </c>
      <c r="D597" t="str">
        <f>"8304"</f>
        <v>8304</v>
      </c>
      <c r="E597" s="18">
        <v>45329</v>
      </c>
      <c r="F597" t="str">
        <f>"1017"</f>
        <v>1017</v>
      </c>
      <c r="G597" t="s">
        <v>247</v>
      </c>
      <c r="H597" t="s">
        <v>1197</v>
      </c>
      <c r="L597" s="35">
        <v>432000</v>
      </c>
    </row>
    <row r="598" spans="1:12" x14ac:dyDescent="0.25">
      <c r="A598">
        <v>0</v>
      </c>
      <c r="B598" t="s">
        <v>244</v>
      </c>
      <c r="C598" s="18">
        <v>45658</v>
      </c>
      <c r="D598" t="str">
        <f>"8305"</f>
        <v>8305</v>
      </c>
      <c r="E598" s="18">
        <v>45329</v>
      </c>
      <c r="F598" t="s">
        <v>1198</v>
      </c>
      <c r="G598" t="s">
        <v>247</v>
      </c>
      <c r="H598" t="s">
        <v>1199</v>
      </c>
      <c r="L598" s="35">
        <v>10560</v>
      </c>
    </row>
    <row r="599" spans="1:12" x14ac:dyDescent="0.25">
      <c r="A599">
        <v>0</v>
      </c>
      <c r="B599" t="s">
        <v>244</v>
      </c>
      <c r="C599" s="18">
        <v>45658</v>
      </c>
      <c r="D599" t="str">
        <f>"8306"</f>
        <v>8306</v>
      </c>
      <c r="E599" s="18">
        <v>45329</v>
      </c>
      <c r="F599" t="str">
        <f>"202402004"</f>
        <v>202402004</v>
      </c>
      <c r="G599" t="s">
        <v>247</v>
      </c>
      <c r="H599" t="s">
        <v>1200</v>
      </c>
      <c r="L599" s="35">
        <v>16000</v>
      </c>
    </row>
    <row r="600" spans="1:12" x14ac:dyDescent="0.25">
      <c r="A600">
        <v>0</v>
      </c>
      <c r="B600" t="s">
        <v>244</v>
      </c>
      <c r="C600" s="18">
        <v>45658</v>
      </c>
      <c r="D600" t="str">
        <f>"8307"</f>
        <v>8307</v>
      </c>
      <c r="E600" s="18">
        <v>45329</v>
      </c>
      <c r="F600" t="s">
        <v>1201</v>
      </c>
      <c r="G600" t="s">
        <v>247</v>
      </c>
      <c r="H600" t="s">
        <v>1202</v>
      </c>
      <c r="L600" s="35">
        <v>184000</v>
      </c>
    </row>
    <row r="601" spans="1:12" x14ac:dyDescent="0.25">
      <c r="A601">
        <v>0</v>
      </c>
      <c r="B601" t="s">
        <v>244</v>
      </c>
      <c r="C601" s="18">
        <v>45658</v>
      </c>
      <c r="D601" t="str">
        <f>"8308"</f>
        <v>8308</v>
      </c>
      <c r="E601" s="18">
        <v>45330</v>
      </c>
      <c r="F601" t="str">
        <f>"150124"</f>
        <v>150124</v>
      </c>
      <c r="G601" t="s">
        <v>247</v>
      </c>
      <c r="H601" t="s">
        <v>1203</v>
      </c>
      <c r="L601" s="35">
        <v>40000</v>
      </c>
    </row>
    <row r="602" spans="1:12" x14ac:dyDescent="0.25">
      <c r="A602">
        <v>0</v>
      </c>
      <c r="B602" t="s">
        <v>244</v>
      </c>
      <c r="C602" s="18">
        <v>45658</v>
      </c>
      <c r="D602" t="str">
        <f>"8309"</f>
        <v>8309</v>
      </c>
      <c r="E602" s="18">
        <v>45330</v>
      </c>
      <c r="F602" t="s">
        <v>1204</v>
      </c>
      <c r="G602" t="s">
        <v>247</v>
      </c>
      <c r="H602" t="s">
        <v>1205</v>
      </c>
      <c r="L602" s="35">
        <v>64000</v>
      </c>
    </row>
    <row r="603" spans="1:12" x14ac:dyDescent="0.25">
      <c r="A603">
        <v>0</v>
      </c>
      <c r="B603" t="s">
        <v>244</v>
      </c>
      <c r="C603" s="18">
        <v>45658</v>
      </c>
      <c r="D603" t="str">
        <f>"8310"</f>
        <v>8310</v>
      </c>
      <c r="E603" s="18">
        <v>45331</v>
      </c>
      <c r="F603" t="s">
        <v>1206</v>
      </c>
      <c r="G603" t="s">
        <v>247</v>
      </c>
      <c r="H603" t="s">
        <v>1207</v>
      </c>
      <c r="L603" s="35">
        <v>343440</v>
      </c>
    </row>
    <row r="604" spans="1:12" x14ac:dyDescent="0.25">
      <c r="A604">
        <v>0</v>
      </c>
      <c r="B604" t="s">
        <v>244</v>
      </c>
      <c r="C604" s="18">
        <v>45658</v>
      </c>
      <c r="D604" t="str">
        <f>"8311"</f>
        <v>8311</v>
      </c>
      <c r="E604" s="18">
        <v>45331</v>
      </c>
      <c r="F604" t="s">
        <v>1208</v>
      </c>
      <c r="G604" t="s">
        <v>247</v>
      </c>
      <c r="H604" t="s">
        <v>1209</v>
      </c>
      <c r="L604" s="35">
        <v>240000</v>
      </c>
    </row>
    <row r="605" spans="1:12" x14ac:dyDescent="0.25">
      <c r="A605">
        <v>0</v>
      </c>
      <c r="B605" t="s">
        <v>244</v>
      </c>
      <c r="C605" s="18">
        <v>45658</v>
      </c>
      <c r="D605" t="str">
        <f>"8312"</f>
        <v>8312</v>
      </c>
      <c r="E605" s="18">
        <v>45331</v>
      </c>
      <c r="F605" t="s">
        <v>1210</v>
      </c>
      <c r="G605" t="s">
        <v>247</v>
      </c>
      <c r="H605" t="s">
        <v>1211</v>
      </c>
      <c r="L605" s="35">
        <v>88160</v>
      </c>
    </row>
    <row r="606" spans="1:12" x14ac:dyDescent="0.25">
      <c r="A606">
        <v>0</v>
      </c>
      <c r="B606" t="s">
        <v>244</v>
      </c>
      <c r="C606" s="18">
        <v>45658</v>
      </c>
      <c r="D606" t="str">
        <f>"8313"</f>
        <v>8313</v>
      </c>
      <c r="E606" s="18">
        <v>45331</v>
      </c>
      <c r="F606" t="s">
        <v>1212</v>
      </c>
      <c r="G606" t="s">
        <v>247</v>
      </c>
      <c r="H606" t="s">
        <v>1213</v>
      </c>
      <c r="L606" s="35">
        <v>2010723</v>
      </c>
    </row>
    <row r="607" spans="1:12" x14ac:dyDescent="0.25">
      <c r="A607">
        <v>0</v>
      </c>
      <c r="B607" t="s">
        <v>244</v>
      </c>
      <c r="C607" s="18">
        <v>45658</v>
      </c>
      <c r="D607" t="str">
        <f>"8314"</f>
        <v>8314</v>
      </c>
      <c r="E607" s="18">
        <v>45331</v>
      </c>
      <c r="F607" t="s">
        <v>1214</v>
      </c>
      <c r="G607" t="s">
        <v>247</v>
      </c>
      <c r="H607" t="s">
        <v>1215</v>
      </c>
      <c r="L607" s="35">
        <v>187920</v>
      </c>
    </row>
    <row r="608" spans="1:12" x14ac:dyDescent="0.25">
      <c r="A608">
        <v>0</v>
      </c>
      <c r="B608" t="s">
        <v>244</v>
      </c>
      <c r="C608" s="18">
        <v>45658</v>
      </c>
      <c r="D608" t="str">
        <f>"8315"</f>
        <v>8315</v>
      </c>
      <c r="E608" s="18">
        <v>45331</v>
      </c>
      <c r="F608" t="s">
        <v>1216</v>
      </c>
      <c r="G608" t="s">
        <v>247</v>
      </c>
      <c r="H608" t="s">
        <v>1217</v>
      </c>
      <c r="L608" s="35">
        <v>479200</v>
      </c>
    </row>
    <row r="609" spans="1:12" x14ac:dyDescent="0.25">
      <c r="A609">
        <v>0</v>
      </c>
      <c r="B609" t="s">
        <v>244</v>
      </c>
      <c r="C609" s="18">
        <v>45658</v>
      </c>
      <c r="D609" t="str">
        <f>"8316"</f>
        <v>8316</v>
      </c>
      <c r="E609" s="18">
        <v>45331</v>
      </c>
      <c r="F609" t="s">
        <v>1218</v>
      </c>
      <c r="G609" t="s">
        <v>247</v>
      </c>
      <c r="H609" t="s">
        <v>1219</v>
      </c>
      <c r="L609" s="35">
        <v>32000</v>
      </c>
    </row>
    <row r="610" spans="1:12" x14ac:dyDescent="0.25">
      <c r="A610">
        <v>0</v>
      </c>
      <c r="B610" t="s">
        <v>244</v>
      </c>
      <c r="C610" s="18">
        <v>45658</v>
      </c>
      <c r="D610" t="str">
        <f>"8317"</f>
        <v>8317</v>
      </c>
      <c r="E610" s="18">
        <v>45331</v>
      </c>
      <c r="F610" t="s">
        <v>1220</v>
      </c>
      <c r="G610" t="s">
        <v>247</v>
      </c>
      <c r="H610" t="s">
        <v>1221</v>
      </c>
      <c r="L610" s="35">
        <v>24000</v>
      </c>
    </row>
    <row r="611" spans="1:12" x14ac:dyDescent="0.25">
      <c r="A611">
        <v>0</v>
      </c>
      <c r="B611" t="s">
        <v>244</v>
      </c>
      <c r="C611" s="18">
        <v>45658</v>
      </c>
      <c r="D611" t="str">
        <f>"8318"</f>
        <v>8318</v>
      </c>
      <c r="E611" s="18">
        <v>45332</v>
      </c>
      <c r="F611" t="str">
        <f>"17096"</f>
        <v>17096</v>
      </c>
      <c r="G611" t="s">
        <v>247</v>
      </c>
      <c r="H611" t="s">
        <v>1222</v>
      </c>
      <c r="L611" s="35">
        <v>90880</v>
      </c>
    </row>
    <row r="612" spans="1:12" x14ac:dyDescent="0.25">
      <c r="A612">
        <v>0</v>
      </c>
      <c r="B612" t="s">
        <v>244</v>
      </c>
      <c r="C612" s="18">
        <v>45658</v>
      </c>
      <c r="D612" t="str">
        <f>"8319"</f>
        <v>8319</v>
      </c>
      <c r="E612" s="18">
        <v>45332</v>
      </c>
      <c r="F612" t="str">
        <f>"17097"</f>
        <v>17097</v>
      </c>
      <c r="G612" t="s">
        <v>247</v>
      </c>
      <c r="H612" t="s">
        <v>1223</v>
      </c>
      <c r="L612" s="35">
        <v>432000</v>
      </c>
    </row>
    <row r="613" spans="1:12" x14ac:dyDescent="0.25">
      <c r="A613">
        <v>0</v>
      </c>
      <c r="B613" t="s">
        <v>244</v>
      </c>
      <c r="C613" s="18">
        <v>45658</v>
      </c>
      <c r="D613" t="str">
        <f>"8320"</f>
        <v>8320</v>
      </c>
      <c r="E613" s="18">
        <v>45334</v>
      </c>
      <c r="F613" t="str">
        <f>"240019"</f>
        <v>240019</v>
      </c>
      <c r="G613" t="s">
        <v>247</v>
      </c>
      <c r="H613" t="s">
        <v>1224</v>
      </c>
      <c r="L613" s="35">
        <v>520000</v>
      </c>
    </row>
    <row r="614" spans="1:12" x14ac:dyDescent="0.25">
      <c r="A614">
        <v>0</v>
      </c>
      <c r="B614" t="s">
        <v>244</v>
      </c>
      <c r="C614" s="18">
        <v>45658</v>
      </c>
      <c r="D614" t="str">
        <f>"8321"</f>
        <v>8321</v>
      </c>
      <c r="E614" s="18">
        <v>45334</v>
      </c>
      <c r="F614" t="s">
        <v>1225</v>
      </c>
      <c r="G614" t="s">
        <v>247</v>
      </c>
      <c r="H614" t="s">
        <v>1226</v>
      </c>
      <c r="L614" s="35">
        <v>116880</v>
      </c>
    </row>
    <row r="615" spans="1:12" x14ac:dyDescent="0.25">
      <c r="A615">
        <v>0</v>
      </c>
      <c r="B615" t="s">
        <v>244</v>
      </c>
      <c r="C615" s="18">
        <v>45658</v>
      </c>
      <c r="D615" t="str">
        <f>"8322"</f>
        <v>8322</v>
      </c>
      <c r="E615" s="18">
        <v>45334</v>
      </c>
      <c r="F615" s="32">
        <v>45292</v>
      </c>
      <c r="G615" t="s">
        <v>247</v>
      </c>
      <c r="H615" t="s">
        <v>1227</v>
      </c>
      <c r="L615" s="35">
        <v>65920</v>
      </c>
    </row>
    <row r="616" spans="1:12" x14ac:dyDescent="0.25">
      <c r="A616">
        <v>0</v>
      </c>
      <c r="B616" t="s">
        <v>244</v>
      </c>
      <c r="C616" s="18">
        <v>45658</v>
      </c>
      <c r="D616" t="str">
        <f>"8323"</f>
        <v>8323</v>
      </c>
      <c r="E616" s="18">
        <v>45335</v>
      </c>
      <c r="F616" t="s">
        <v>1228</v>
      </c>
      <c r="G616" t="s">
        <v>247</v>
      </c>
      <c r="H616" t="s">
        <v>1229</v>
      </c>
      <c r="L616" s="35">
        <v>216960</v>
      </c>
    </row>
    <row r="617" spans="1:12" x14ac:dyDescent="0.25">
      <c r="A617">
        <v>0</v>
      </c>
      <c r="B617" t="s">
        <v>244</v>
      </c>
      <c r="C617" s="18">
        <v>45658</v>
      </c>
      <c r="D617" t="str">
        <f>"8324"</f>
        <v>8324</v>
      </c>
      <c r="E617" s="18">
        <v>45336</v>
      </c>
      <c r="F617" t="s">
        <v>1230</v>
      </c>
      <c r="G617" t="s">
        <v>247</v>
      </c>
      <c r="H617" t="s">
        <v>1202</v>
      </c>
      <c r="L617" s="35">
        <v>600000</v>
      </c>
    </row>
    <row r="618" spans="1:12" x14ac:dyDescent="0.25">
      <c r="A618">
        <v>0</v>
      </c>
      <c r="B618" t="s">
        <v>244</v>
      </c>
      <c r="C618" s="18">
        <v>45658</v>
      </c>
      <c r="D618" t="str">
        <f>"8325"</f>
        <v>8325</v>
      </c>
      <c r="E618" s="18">
        <v>45337</v>
      </c>
      <c r="F618" t="str">
        <f>"331614"</f>
        <v>331614</v>
      </c>
      <c r="G618" t="s">
        <v>247</v>
      </c>
      <c r="H618" t="s">
        <v>1231</v>
      </c>
      <c r="L618" s="35">
        <v>534400</v>
      </c>
    </row>
    <row r="619" spans="1:12" x14ac:dyDescent="0.25">
      <c r="A619">
        <v>0</v>
      </c>
      <c r="B619" t="s">
        <v>244</v>
      </c>
      <c r="C619" s="18">
        <v>45658</v>
      </c>
      <c r="D619" t="str">
        <f>"8326"</f>
        <v>8326</v>
      </c>
      <c r="E619" s="18">
        <v>45337</v>
      </c>
      <c r="F619" t="s">
        <v>1232</v>
      </c>
      <c r="G619" t="s">
        <v>247</v>
      </c>
      <c r="H619" t="s">
        <v>1233</v>
      </c>
      <c r="L619" s="35">
        <v>31200</v>
      </c>
    </row>
    <row r="620" spans="1:12" x14ac:dyDescent="0.25">
      <c r="A620">
        <v>0</v>
      </c>
      <c r="B620" t="s">
        <v>244</v>
      </c>
      <c r="C620" s="18">
        <v>45658</v>
      </c>
      <c r="D620" t="str">
        <f>"8327"</f>
        <v>8327</v>
      </c>
      <c r="E620" s="18">
        <v>45341</v>
      </c>
      <c r="F620" t="s">
        <v>1234</v>
      </c>
      <c r="G620" t="s">
        <v>247</v>
      </c>
      <c r="H620" t="s">
        <v>1235</v>
      </c>
      <c r="L620" s="35">
        <v>77360</v>
      </c>
    </row>
    <row r="621" spans="1:12" x14ac:dyDescent="0.25">
      <c r="A621">
        <v>0</v>
      </c>
      <c r="B621" t="s">
        <v>244</v>
      </c>
      <c r="C621" s="18">
        <v>45658</v>
      </c>
      <c r="D621" t="str">
        <f>"8328"</f>
        <v>8328</v>
      </c>
      <c r="E621" s="18">
        <v>45341</v>
      </c>
      <c r="F621" t="str">
        <f>"018374"</f>
        <v>018374</v>
      </c>
      <c r="G621" t="s">
        <v>247</v>
      </c>
      <c r="H621" t="s">
        <v>1236</v>
      </c>
      <c r="L621" s="35">
        <v>32800</v>
      </c>
    </row>
    <row r="622" spans="1:12" x14ac:dyDescent="0.25">
      <c r="A622">
        <v>0</v>
      </c>
      <c r="B622" t="s">
        <v>244</v>
      </c>
      <c r="C622" s="18">
        <v>45658</v>
      </c>
      <c r="D622" t="str">
        <f>"8329"</f>
        <v>8329</v>
      </c>
      <c r="E622" s="18">
        <v>45344</v>
      </c>
      <c r="F622" s="34">
        <v>570037</v>
      </c>
      <c r="G622" t="s">
        <v>247</v>
      </c>
      <c r="H622" t="s">
        <v>1237</v>
      </c>
      <c r="L622" s="35">
        <v>178288</v>
      </c>
    </row>
    <row r="623" spans="1:12" x14ac:dyDescent="0.25">
      <c r="A623">
        <v>0</v>
      </c>
      <c r="B623" t="s">
        <v>244</v>
      </c>
      <c r="C623" s="18">
        <v>45658</v>
      </c>
      <c r="D623" t="str">
        <f>"8330"</f>
        <v>8330</v>
      </c>
      <c r="E623" s="18">
        <v>45344</v>
      </c>
      <c r="F623" t="str">
        <f>"717"</f>
        <v>717</v>
      </c>
      <c r="G623" t="s">
        <v>247</v>
      </c>
      <c r="H623" t="s">
        <v>1238</v>
      </c>
      <c r="L623" s="35">
        <v>154000</v>
      </c>
    </row>
    <row r="624" spans="1:12" x14ac:dyDescent="0.25">
      <c r="A624">
        <v>0</v>
      </c>
      <c r="B624" t="s">
        <v>244</v>
      </c>
      <c r="C624" s="18">
        <v>45658</v>
      </c>
      <c r="D624" t="str">
        <f>"8331"</f>
        <v>8331</v>
      </c>
      <c r="E624" s="18">
        <v>45345</v>
      </c>
      <c r="F624" t="str">
        <f>"17190"</f>
        <v>17190</v>
      </c>
      <c r="G624" t="s">
        <v>247</v>
      </c>
      <c r="H624" t="s">
        <v>1239</v>
      </c>
      <c r="L624" s="35">
        <v>52032</v>
      </c>
    </row>
    <row r="625" spans="1:12" x14ac:dyDescent="0.25">
      <c r="A625">
        <v>0</v>
      </c>
      <c r="B625" t="s">
        <v>244</v>
      </c>
      <c r="C625" s="18">
        <v>45658</v>
      </c>
      <c r="D625" t="str">
        <f>"8332"</f>
        <v>8332</v>
      </c>
      <c r="E625" s="18">
        <v>45345</v>
      </c>
      <c r="F625" t="s">
        <v>1240</v>
      </c>
      <c r="G625" t="s">
        <v>247</v>
      </c>
      <c r="H625" t="s">
        <v>1241</v>
      </c>
      <c r="L625" s="35">
        <v>292200</v>
      </c>
    </row>
    <row r="626" spans="1:12" x14ac:dyDescent="0.25">
      <c r="A626">
        <v>0</v>
      </c>
      <c r="B626" t="s">
        <v>244</v>
      </c>
      <c r="C626" s="18">
        <v>45658</v>
      </c>
      <c r="D626" t="str">
        <f>"8333"</f>
        <v>8333</v>
      </c>
      <c r="E626" s="18">
        <v>45345</v>
      </c>
      <c r="F626" t="s">
        <v>1242</v>
      </c>
      <c r="G626" t="s">
        <v>247</v>
      </c>
      <c r="H626" t="s">
        <v>1219</v>
      </c>
      <c r="L626" s="35">
        <v>64000</v>
      </c>
    </row>
    <row r="627" spans="1:12" x14ac:dyDescent="0.25">
      <c r="A627">
        <v>0</v>
      </c>
      <c r="B627" t="s">
        <v>244</v>
      </c>
      <c r="C627" s="18">
        <v>45658</v>
      </c>
      <c r="D627" t="str">
        <f>"8334"</f>
        <v>8334</v>
      </c>
      <c r="E627" s="18">
        <v>45345</v>
      </c>
      <c r="F627" t="s">
        <v>1243</v>
      </c>
      <c r="G627" t="s">
        <v>247</v>
      </c>
      <c r="H627" t="s">
        <v>1244</v>
      </c>
      <c r="L627" s="35">
        <v>1747200</v>
      </c>
    </row>
    <row r="628" spans="1:12" x14ac:dyDescent="0.25">
      <c r="A628">
        <v>0</v>
      </c>
      <c r="B628" t="s">
        <v>244</v>
      </c>
      <c r="C628" s="18">
        <v>45658</v>
      </c>
      <c r="D628" t="str">
        <f>"8335"</f>
        <v>8335</v>
      </c>
      <c r="E628" s="18">
        <v>45345</v>
      </c>
      <c r="F628" t="s">
        <v>1245</v>
      </c>
      <c r="G628" t="s">
        <v>247</v>
      </c>
      <c r="H628" t="s">
        <v>1246</v>
      </c>
      <c r="L628" s="35">
        <v>240000</v>
      </c>
    </row>
    <row r="629" spans="1:12" x14ac:dyDescent="0.25">
      <c r="A629">
        <v>0</v>
      </c>
      <c r="B629" t="s">
        <v>244</v>
      </c>
      <c r="C629" s="18">
        <v>45658</v>
      </c>
      <c r="D629" t="str">
        <f>"8336"</f>
        <v>8336</v>
      </c>
      <c r="E629" s="18">
        <v>45348</v>
      </c>
      <c r="F629" t="str">
        <f>"335033"</f>
        <v>335033</v>
      </c>
      <c r="G629" t="s">
        <v>247</v>
      </c>
      <c r="H629" t="s">
        <v>1247</v>
      </c>
      <c r="L629" s="35">
        <v>600000</v>
      </c>
    </row>
    <row r="630" spans="1:12" x14ac:dyDescent="0.25">
      <c r="A630">
        <v>0</v>
      </c>
      <c r="B630" t="s">
        <v>244</v>
      </c>
      <c r="C630" s="18">
        <v>45658</v>
      </c>
      <c r="D630" t="str">
        <f>"8337"</f>
        <v>8337</v>
      </c>
      <c r="E630" s="18">
        <v>45348</v>
      </c>
      <c r="F630" t="s">
        <v>1248</v>
      </c>
      <c r="G630" t="s">
        <v>247</v>
      </c>
      <c r="H630" t="s">
        <v>1249</v>
      </c>
      <c r="L630" s="35">
        <v>15200</v>
      </c>
    </row>
    <row r="631" spans="1:12" x14ac:dyDescent="0.25">
      <c r="A631">
        <v>0</v>
      </c>
      <c r="B631" t="s">
        <v>244</v>
      </c>
      <c r="C631" s="18">
        <v>45658</v>
      </c>
      <c r="D631" t="str">
        <f>"8338"</f>
        <v>8338</v>
      </c>
      <c r="E631" s="18">
        <v>45349</v>
      </c>
      <c r="F631" t="s">
        <v>1250</v>
      </c>
      <c r="G631" t="s">
        <v>247</v>
      </c>
      <c r="H631" t="s">
        <v>1251</v>
      </c>
      <c r="L631" s="35">
        <v>79840</v>
      </c>
    </row>
    <row r="632" spans="1:12" x14ac:dyDescent="0.25">
      <c r="A632">
        <v>0</v>
      </c>
      <c r="B632" t="s">
        <v>244</v>
      </c>
      <c r="C632" s="18">
        <v>45658</v>
      </c>
      <c r="D632" t="str">
        <f>"8339"</f>
        <v>8339</v>
      </c>
      <c r="E632" s="18">
        <v>45349</v>
      </c>
      <c r="F632" t="s">
        <v>1252</v>
      </c>
      <c r="G632" t="s">
        <v>247</v>
      </c>
      <c r="H632" t="s">
        <v>1253</v>
      </c>
      <c r="L632" s="35">
        <v>64000</v>
      </c>
    </row>
    <row r="633" spans="1:12" x14ac:dyDescent="0.25">
      <c r="A633">
        <v>0</v>
      </c>
      <c r="B633" t="s">
        <v>244</v>
      </c>
      <c r="C633" s="18">
        <v>45658</v>
      </c>
      <c r="D633" t="str">
        <f>"8340"</f>
        <v>8340</v>
      </c>
      <c r="E633" s="18">
        <v>45352</v>
      </c>
      <c r="F633" t="str">
        <f>"007889"</f>
        <v>007889</v>
      </c>
      <c r="G633" t="s">
        <v>247</v>
      </c>
      <c r="H633" t="s">
        <v>1254</v>
      </c>
      <c r="L633" s="35">
        <v>105840</v>
      </c>
    </row>
    <row r="634" spans="1:12" x14ac:dyDescent="0.25">
      <c r="A634">
        <v>0</v>
      </c>
      <c r="B634" t="s">
        <v>244</v>
      </c>
      <c r="C634" s="18">
        <v>45658</v>
      </c>
      <c r="D634" t="str">
        <f>"8341"</f>
        <v>8341</v>
      </c>
      <c r="E634" s="18">
        <v>45355</v>
      </c>
      <c r="F634" t="str">
        <f>"281023"</f>
        <v>281023</v>
      </c>
      <c r="G634" t="s">
        <v>247</v>
      </c>
      <c r="H634" t="s">
        <v>1255</v>
      </c>
      <c r="L634" s="35">
        <v>960720</v>
      </c>
    </row>
    <row r="635" spans="1:12" x14ac:dyDescent="0.25">
      <c r="A635">
        <v>0</v>
      </c>
      <c r="B635" t="s">
        <v>244</v>
      </c>
      <c r="C635" s="18">
        <v>45658</v>
      </c>
      <c r="D635" t="str">
        <f>"8342"</f>
        <v>8342</v>
      </c>
      <c r="E635" s="18">
        <v>45356</v>
      </c>
      <c r="F635" t="str">
        <f>"050224"</f>
        <v>050224</v>
      </c>
      <c r="G635" t="s">
        <v>247</v>
      </c>
      <c r="H635" t="s">
        <v>1256</v>
      </c>
      <c r="L635" s="35">
        <v>80000</v>
      </c>
    </row>
    <row r="636" spans="1:12" x14ac:dyDescent="0.25">
      <c r="A636">
        <v>0</v>
      </c>
      <c r="B636" t="s">
        <v>337</v>
      </c>
      <c r="C636" s="18">
        <v>45869</v>
      </c>
      <c r="D636" t="str">
        <f>"8342"</f>
        <v>8342</v>
      </c>
      <c r="E636" s="18">
        <v>45869</v>
      </c>
      <c r="G636" t="s">
        <v>247</v>
      </c>
      <c r="H636" t="s">
        <v>1257</v>
      </c>
      <c r="L636" s="35">
        <v>65284.480000000003</v>
      </c>
    </row>
    <row r="637" spans="1:12" x14ac:dyDescent="0.25">
      <c r="A637">
        <v>0</v>
      </c>
      <c r="B637" t="s">
        <v>244</v>
      </c>
      <c r="C637" s="18">
        <v>45658</v>
      </c>
      <c r="D637" t="str">
        <f>"8343"</f>
        <v>8343</v>
      </c>
      <c r="E637" s="18">
        <v>45357</v>
      </c>
      <c r="F637" t="str">
        <f>"018374"</f>
        <v>018374</v>
      </c>
      <c r="G637" t="s">
        <v>247</v>
      </c>
      <c r="H637" t="s">
        <v>1258</v>
      </c>
      <c r="L637" s="35">
        <v>32800</v>
      </c>
    </row>
    <row r="638" spans="1:12" x14ac:dyDescent="0.25">
      <c r="A638">
        <v>0</v>
      </c>
      <c r="B638" t="s">
        <v>337</v>
      </c>
      <c r="C638" s="18">
        <v>45869</v>
      </c>
      <c r="D638" t="str">
        <f>"8343"</f>
        <v>8343</v>
      </c>
      <c r="E638" s="18">
        <v>45869</v>
      </c>
      <c r="G638" t="s">
        <v>247</v>
      </c>
      <c r="H638" t="s">
        <v>1259</v>
      </c>
      <c r="L638" s="35">
        <v>10800</v>
      </c>
    </row>
    <row r="639" spans="1:12" x14ac:dyDescent="0.25">
      <c r="A639">
        <v>0</v>
      </c>
      <c r="B639" t="s">
        <v>244</v>
      </c>
      <c r="C639" s="18">
        <v>45658</v>
      </c>
      <c r="D639" t="str">
        <f>"8344"</f>
        <v>8344</v>
      </c>
      <c r="E639" s="18">
        <v>45357</v>
      </c>
      <c r="F639" t="s">
        <v>1260</v>
      </c>
      <c r="G639" t="s">
        <v>247</v>
      </c>
      <c r="H639" t="s">
        <v>1261</v>
      </c>
      <c r="L639" s="35">
        <v>835240</v>
      </c>
    </row>
    <row r="640" spans="1:12" x14ac:dyDescent="0.25">
      <c r="A640">
        <v>0</v>
      </c>
      <c r="B640" t="s">
        <v>337</v>
      </c>
      <c r="C640" s="18">
        <v>45846</v>
      </c>
      <c r="D640" t="str">
        <f>"8344"</f>
        <v>8344</v>
      </c>
      <c r="E640" s="18">
        <v>45846</v>
      </c>
      <c r="G640" t="s">
        <v>247</v>
      </c>
      <c r="H640" t="s">
        <v>1262</v>
      </c>
      <c r="L640" s="35">
        <v>9600</v>
      </c>
    </row>
    <row r="641" spans="1:12" x14ac:dyDescent="0.25">
      <c r="A641">
        <v>0</v>
      </c>
      <c r="B641" t="s">
        <v>244</v>
      </c>
      <c r="C641" s="18">
        <v>45658</v>
      </c>
      <c r="D641" t="str">
        <f>"8345"</f>
        <v>8345</v>
      </c>
      <c r="E641" s="18">
        <v>45358</v>
      </c>
      <c r="F641" t="s">
        <v>1263</v>
      </c>
      <c r="G641" t="s">
        <v>247</v>
      </c>
      <c r="H641" t="s">
        <v>1264</v>
      </c>
      <c r="L641" s="35">
        <v>20000</v>
      </c>
    </row>
    <row r="642" spans="1:12" x14ac:dyDescent="0.25">
      <c r="A642">
        <v>0</v>
      </c>
      <c r="B642" t="s">
        <v>337</v>
      </c>
      <c r="C642" s="18">
        <v>45842</v>
      </c>
      <c r="D642" t="str">
        <f>"8345"</f>
        <v>8345</v>
      </c>
      <c r="E642" s="18">
        <v>45842</v>
      </c>
      <c r="G642" t="s">
        <v>247</v>
      </c>
      <c r="H642" t="s">
        <v>1262</v>
      </c>
      <c r="L642" s="35">
        <v>9600</v>
      </c>
    </row>
    <row r="643" spans="1:12" x14ac:dyDescent="0.25">
      <c r="A643">
        <v>0</v>
      </c>
      <c r="B643" t="s">
        <v>244</v>
      </c>
      <c r="C643" s="18">
        <v>45658</v>
      </c>
      <c r="D643" t="str">
        <f>"8346"</f>
        <v>8346</v>
      </c>
      <c r="E643" s="18">
        <v>45358</v>
      </c>
      <c r="F643" t="s">
        <v>1265</v>
      </c>
      <c r="G643" t="s">
        <v>247</v>
      </c>
      <c r="H643" t="s">
        <v>1266</v>
      </c>
      <c r="L643" s="35">
        <v>32800</v>
      </c>
    </row>
    <row r="644" spans="1:12" x14ac:dyDescent="0.25">
      <c r="A644">
        <v>0</v>
      </c>
      <c r="B644" t="s">
        <v>337</v>
      </c>
      <c r="C644" s="18">
        <v>45842</v>
      </c>
      <c r="D644" t="str">
        <f>"8346"</f>
        <v>8346</v>
      </c>
      <c r="E644" s="18">
        <v>45842</v>
      </c>
      <c r="G644" t="s">
        <v>247</v>
      </c>
      <c r="H644" t="s">
        <v>1267</v>
      </c>
      <c r="L644" s="35">
        <v>9600</v>
      </c>
    </row>
    <row r="645" spans="1:12" x14ac:dyDescent="0.25">
      <c r="A645">
        <v>0</v>
      </c>
      <c r="B645" t="s">
        <v>244</v>
      </c>
      <c r="C645" s="18">
        <v>45658</v>
      </c>
      <c r="D645" t="str">
        <f>"8347"</f>
        <v>8347</v>
      </c>
      <c r="E645" s="18">
        <v>45358</v>
      </c>
      <c r="F645" t="str">
        <f>"245164"</f>
        <v>245164</v>
      </c>
      <c r="G645" t="s">
        <v>247</v>
      </c>
      <c r="H645" t="s">
        <v>1268</v>
      </c>
      <c r="L645" s="35">
        <v>78400</v>
      </c>
    </row>
    <row r="646" spans="1:12" x14ac:dyDescent="0.25">
      <c r="A646">
        <v>0</v>
      </c>
      <c r="B646" t="s">
        <v>337</v>
      </c>
      <c r="C646" s="18">
        <v>45846</v>
      </c>
      <c r="D646" t="str">
        <f>"8347"</f>
        <v>8347</v>
      </c>
      <c r="E646" s="18">
        <v>45846</v>
      </c>
      <c r="G646" t="s">
        <v>247</v>
      </c>
      <c r="H646" t="s">
        <v>1269</v>
      </c>
      <c r="L646" s="35">
        <v>9600</v>
      </c>
    </row>
    <row r="647" spans="1:12" x14ac:dyDescent="0.25">
      <c r="A647">
        <v>0</v>
      </c>
      <c r="B647" t="s">
        <v>244</v>
      </c>
      <c r="C647" s="18">
        <v>45658</v>
      </c>
      <c r="D647" t="str">
        <f>"8348"</f>
        <v>8348</v>
      </c>
      <c r="E647" s="18">
        <v>45359</v>
      </c>
      <c r="F647" t="str">
        <f>"17333"</f>
        <v>17333</v>
      </c>
      <c r="G647" t="s">
        <v>247</v>
      </c>
      <c r="H647" t="s">
        <v>1270</v>
      </c>
      <c r="L647" s="35">
        <v>15200</v>
      </c>
    </row>
    <row r="648" spans="1:12" x14ac:dyDescent="0.25">
      <c r="A648">
        <v>0</v>
      </c>
      <c r="B648" t="s">
        <v>337</v>
      </c>
      <c r="C648" s="18">
        <v>45852</v>
      </c>
      <c r="D648" t="str">
        <f>"8348"</f>
        <v>8348</v>
      </c>
      <c r="E648" s="18">
        <v>45852</v>
      </c>
      <c r="G648" t="s">
        <v>247</v>
      </c>
      <c r="H648" t="s">
        <v>1271</v>
      </c>
      <c r="L648" s="35">
        <v>3000</v>
      </c>
    </row>
    <row r="649" spans="1:12" x14ac:dyDescent="0.25">
      <c r="A649">
        <v>0</v>
      </c>
      <c r="B649" t="s">
        <v>244</v>
      </c>
      <c r="C649" s="18">
        <v>45658</v>
      </c>
      <c r="D649" t="str">
        <f>"8349"</f>
        <v>8349</v>
      </c>
      <c r="E649" s="18">
        <v>45362</v>
      </c>
      <c r="F649" t="s">
        <v>1272</v>
      </c>
      <c r="G649" t="s">
        <v>247</v>
      </c>
      <c r="H649" t="s">
        <v>1273</v>
      </c>
      <c r="L649" s="35">
        <v>1044321</v>
      </c>
    </row>
    <row r="650" spans="1:12" x14ac:dyDescent="0.25">
      <c r="A650">
        <v>0</v>
      </c>
      <c r="B650" t="s">
        <v>337</v>
      </c>
      <c r="C650" s="18">
        <v>45852</v>
      </c>
      <c r="D650" t="str">
        <f>"8349"</f>
        <v>8349</v>
      </c>
      <c r="E650" s="18">
        <v>45852</v>
      </c>
      <c r="G650" t="s">
        <v>247</v>
      </c>
      <c r="H650" t="s">
        <v>1274</v>
      </c>
      <c r="L650" s="35">
        <v>3000</v>
      </c>
    </row>
    <row r="651" spans="1:12" x14ac:dyDescent="0.25">
      <c r="A651">
        <v>0</v>
      </c>
      <c r="B651" t="s">
        <v>244</v>
      </c>
      <c r="C651" s="18">
        <v>45658</v>
      </c>
      <c r="D651" t="str">
        <f>"8350"</f>
        <v>8350</v>
      </c>
      <c r="E651" s="18">
        <v>45362</v>
      </c>
      <c r="F651" t="s">
        <v>1275</v>
      </c>
      <c r="G651" t="s">
        <v>247</v>
      </c>
      <c r="H651" t="s">
        <v>1276</v>
      </c>
      <c r="L651" s="35">
        <v>452200</v>
      </c>
    </row>
    <row r="652" spans="1:12" x14ac:dyDescent="0.25">
      <c r="A652">
        <v>0</v>
      </c>
      <c r="B652" t="s">
        <v>337</v>
      </c>
      <c r="C652" s="18">
        <v>45867</v>
      </c>
      <c r="D652" t="str">
        <f>"8350"</f>
        <v>8350</v>
      </c>
      <c r="E652" s="18">
        <v>45867</v>
      </c>
      <c r="G652" t="s">
        <v>247</v>
      </c>
      <c r="H652" t="s">
        <v>1277</v>
      </c>
      <c r="L652" s="35">
        <v>9600</v>
      </c>
    </row>
    <row r="653" spans="1:12" x14ac:dyDescent="0.25">
      <c r="A653">
        <v>0</v>
      </c>
      <c r="B653" t="s">
        <v>244</v>
      </c>
      <c r="C653" s="18">
        <v>45658</v>
      </c>
      <c r="D653" t="str">
        <f>"8351"</f>
        <v>8351</v>
      </c>
      <c r="E653" s="18">
        <v>45363</v>
      </c>
      <c r="F653" t="s">
        <v>1278</v>
      </c>
      <c r="G653" t="s">
        <v>247</v>
      </c>
      <c r="H653" t="s">
        <v>1279</v>
      </c>
      <c r="L653" s="35">
        <v>171120</v>
      </c>
    </row>
    <row r="654" spans="1:12" x14ac:dyDescent="0.25">
      <c r="A654">
        <v>0</v>
      </c>
      <c r="B654" t="s">
        <v>244</v>
      </c>
      <c r="C654" s="18">
        <v>45658</v>
      </c>
      <c r="D654" t="str">
        <f>"8352"</f>
        <v>8352</v>
      </c>
      <c r="E654" s="18">
        <v>45363</v>
      </c>
      <c r="F654" t="s">
        <v>1280</v>
      </c>
      <c r="G654" t="s">
        <v>247</v>
      </c>
      <c r="H654" t="s">
        <v>1281</v>
      </c>
      <c r="L654" s="35">
        <v>791120</v>
      </c>
    </row>
    <row r="655" spans="1:12" x14ac:dyDescent="0.25">
      <c r="A655">
        <v>0</v>
      </c>
      <c r="B655" t="s">
        <v>244</v>
      </c>
      <c r="C655" s="18">
        <v>45658</v>
      </c>
      <c r="D655" t="str">
        <f>"8353"</f>
        <v>8353</v>
      </c>
      <c r="E655" s="18">
        <v>45363</v>
      </c>
      <c r="F655" t="str">
        <f>"246457"</f>
        <v>246457</v>
      </c>
      <c r="G655" t="s">
        <v>247</v>
      </c>
      <c r="H655" t="s">
        <v>1282</v>
      </c>
      <c r="L655" s="35">
        <v>152560</v>
      </c>
    </row>
    <row r="656" spans="1:12" x14ac:dyDescent="0.25">
      <c r="A656">
        <v>0</v>
      </c>
      <c r="B656" t="s">
        <v>244</v>
      </c>
      <c r="C656" s="18">
        <v>45658</v>
      </c>
      <c r="D656" t="str">
        <f>"8354"</f>
        <v>8354</v>
      </c>
      <c r="E656" s="18">
        <v>45364</v>
      </c>
      <c r="F656" t="str">
        <f>"01348"</f>
        <v>01348</v>
      </c>
      <c r="G656" t="s">
        <v>247</v>
      </c>
      <c r="H656" t="s">
        <v>1283</v>
      </c>
      <c r="L656" s="35">
        <v>840000</v>
      </c>
    </row>
    <row r="657" spans="1:12" x14ac:dyDescent="0.25">
      <c r="A657">
        <v>0</v>
      </c>
      <c r="B657" t="s">
        <v>244</v>
      </c>
      <c r="C657" s="18">
        <v>45658</v>
      </c>
      <c r="D657" t="str">
        <f>"8355"</f>
        <v>8355</v>
      </c>
      <c r="E657" s="18">
        <v>45364</v>
      </c>
      <c r="F657" s="18">
        <v>45194</v>
      </c>
      <c r="G657" t="s">
        <v>247</v>
      </c>
      <c r="H657" t="s">
        <v>1284</v>
      </c>
      <c r="L657" s="35">
        <v>130000</v>
      </c>
    </row>
    <row r="658" spans="1:12" x14ac:dyDescent="0.25">
      <c r="A658">
        <v>0</v>
      </c>
      <c r="B658" t="s">
        <v>244</v>
      </c>
      <c r="C658" s="18">
        <v>45658</v>
      </c>
      <c r="D658" t="str">
        <f>"8356"</f>
        <v>8356</v>
      </c>
      <c r="E658" s="18">
        <v>45364</v>
      </c>
      <c r="F658" t="s">
        <v>1285</v>
      </c>
      <c r="G658" t="s">
        <v>247</v>
      </c>
      <c r="H658" t="s">
        <v>1286</v>
      </c>
      <c r="L658" s="35">
        <v>64000</v>
      </c>
    </row>
    <row r="659" spans="1:12" x14ac:dyDescent="0.25">
      <c r="A659">
        <v>0</v>
      </c>
      <c r="B659" t="s">
        <v>244</v>
      </c>
      <c r="C659" s="18">
        <v>45658</v>
      </c>
      <c r="D659" t="str">
        <f>"8357"</f>
        <v>8357</v>
      </c>
      <c r="E659" s="18">
        <v>45364</v>
      </c>
      <c r="F659" t="str">
        <f>"13314"</f>
        <v>13314</v>
      </c>
      <c r="G659" t="s">
        <v>247</v>
      </c>
      <c r="H659" t="s">
        <v>1287</v>
      </c>
      <c r="L659" s="35">
        <v>560000</v>
      </c>
    </row>
    <row r="660" spans="1:12" x14ac:dyDescent="0.25">
      <c r="A660">
        <v>0</v>
      </c>
      <c r="B660" t="s">
        <v>244</v>
      </c>
      <c r="C660" s="18">
        <v>45658</v>
      </c>
      <c r="D660" t="str">
        <f>"8358"</f>
        <v>8358</v>
      </c>
      <c r="E660" s="18">
        <v>45364</v>
      </c>
      <c r="F660" t="str">
        <f>"010224"</f>
        <v>010224</v>
      </c>
      <c r="G660" t="s">
        <v>247</v>
      </c>
      <c r="H660" t="s">
        <v>1288</v>
      </c>
      <c r="L660" s="35">
        <v>412000</v>
      </c>
    </row>
    <row r="661" spans="1:12" x14ac:dyDescent="0.25">
      <c r="A661">
        <v>0</v>
      </c>
      <c r="B661" t="s">
        <v>244</v>
      </c>
      <c r="C661" s="18">
        <v>45658</v>
      </c>
      <c r="D661" t="str">
        <f>"8359"</f>
        <v>8359</v>
      </c>
      <c r="E661" s="18">
        <v>45365</v>
      </c>
      <c r="F661" t="str">
        <f>"018374"</f>
        <v>018374</v>
      </c>
      <c r="G661" t="s">
        <v>247</v>
      </c>
      <c r="H661" t="s">
        <v>1258</v>
      </c>
      <c r="L661" s="35">
        <v>32800</v>
      </c>
    </row>
    <row r="662" spans="1:12" x14ac:dyDescent="0.25">
      <c r="A662">
        <v>0</v>
      </c>
      <c r="B662" t="s">
        <v>244</v>
      </c>
      <c r="C662" s="18">
        <v>45658</v>
      </c>
      <c r="D662" t="str">
        <f>"8360"</f>
        <v>8360</v>
      </c>
      <c r="E662" s="18">
        <v>45366</v>
      </c>
      <c r="F662" t="s">
        <v>1289</v>
      </c>
      <c r="G662" t="s">
        <v>247</v>
      </c>
      <c r="H662" t="s">
        <v>1290</v>
      </c>
      <c r="L662" s="35">
        <v>807200</v>
      </c>
    </row>
    <row r="663" spans="1:12" x14ac:dyDescent="0.25">
      <c r="A663">
        <v>0</v>
      </c>
      <c r="B663" t="s">
        <v>244</v>
      </c>
      <c r="C663" s="18">
        <v>45658</v>
      </c>
      <c r="D663" t="str">
        <f>"8361"</f>
        <v>8361</v>
      </c>
      <c r="E663" s="18">
        <v>45383</v>
      </c>
      <c r="F663" t="s">
        <v>1291</v>
      </c>
      <c r="G663" t="s">
        <v>247</v>
      </c>
      <c r="H663" t="s">
        <v>1292</v>
      </c>
      <c r="L663" s="35">
        <v>133680</v>
      </c>
    </row>
    <row r="664" spans="1:12" x14ac:dyDescent="0.25">
      <c r="A664">
        <v>0</v>
      </c>
      <c r="B664" t="s">
        <v>244</v>
      </c>
      <c r="C664" s="18">
        <v>45658</v>
      </c>
      <c r="D664" t="str">
        <f>"8362"</f>
        <v>8362</v>
      </c>
      <c r="E664" s="18">
        <v>45384</v>
      </c>
      <c r="F664" t="s">
        <v>1293</v>
      </c>
      <c r="G664" t="s">
        <v>247</v>
      </c>
      <c r="H664" t="s">
        <v>1294</v>
      </c>
      <c r="L664" s="35">
        <v>600000</v>
      </c>
    </row>
    <row r="665" spans="1:12" x14ac:dyDescent="0.25">
      <c r="A665">
        <v>0</v>
      </c>
      <c r="B665" t="s">
        <v>244</v>
      </c>
      <c r="C665" s="18">
        <v>45658</v>
      </c>
      <c r="D665" t="str">
        <f>"8363"</f>
        <v>8363</v>
      </c>
      <c r="E665" s="18">
        <v>45384</v>
      </c>
      <c r="F665" t="str">
        <f>"040324"</f>
        <v>040324</v>
      </c>
      <c r="G665" t="s">
        <v>247</v>
      </c>
      <c r="H665" t="s">
        <v>1295</v>
      </c>
      <c r="L665" s="35">
        <v>40000</v>
      </c>
    </row>
    <row r="666" spans="1:12" x14ac:dyDescent="0.25">
      <c r="A666">
        <v>0</v>
      </c>
      <c r="B666" t="s">
        <v>244</v>
      </c>
      <c r="C666" s="18">
        <v>45658</v>
      </c>
      <c r="D666" t="str">
        <f>"8364"</f>
        <v>8364</v>
      </c>
      <c r="E666" s="18">
        <v>45385</v>
      </c>
      <c r="F666" t="s">
        <v>1296</v>
      </c>
      <c r="G666" t="s">
        <v>247</v>
      </c>
      <c r="H666" t="s">
        <v>1297</v>
      </c>
      <c r="L666" s="35">
        <v>8000</v>
      </c>
    </row>
    <row r="667" spans="1:12" x14ac:dyDescent="0.25">
      <c r="A667">
        <v>0</v>
      </c>
      <c r="B667" t="s">
        <v>244</v>
      </c>
      <c r="C667" s="18">
        <v>45658</v>
      </c>
      <c r="D667" t="str">
        <f>"8365"</f>
        <v>8365</v>
      </c>
      <c r="E667" s="18">
        <v>45386</v>
      </c>
      <c r="F667" t="s">
        <v>1298</v>
      </c>
      <c r="G667" t="s">
        <v>247</v>
      </c>
      <c r="H667" t="s">
        <v>1299</v>
      </c>
      <c r="L667" s="35">
        <v>100800</v>
      </c>
    </row>
    <row r="668" spans="1:12" x14ac:dyDescent="0.25">
      <c r="A668">
        <v>0</v>
      </c>
      <c r="B668" t="s">
        <v>244</v>
      </c>
      <c r="C668" s="18">
        <v>45658</v>
      </c>
      <c r="D668" t="str">
        <f>"8366"</f>
        <v>8366</v>
      </c>
      <c r="E668" s="18">
        <v>45386</v>
      </c>
      <c r="F668" t="s">
        <v>1300</v>
      </c>
      <c r="G668" t="s">
        <v>247</v>
      </c>
      <c r="H668" t="s">
        <v>1301</v>
      </c>
      <c r="L668" s="35">
        <v>206800</v>
      </c>
    </row>
    <row r="669" spans="1:12" x14ac:dyDescent="0.25">
      <c r="A669">
        <v>0</v>
      </c>
      <c r="B669" t="s">
        <v>244</v>
      </c>
      <c r="C669" s="18">
        <v>45658</v>
      </c>
      <c r="D669" t="str">
        <f>"8367"</f>
        <v>8367</v>
      </c>
      <c r="E669" s="18">
        <v>45386</v>
      </c>
      <c r="F669" t="s">
        <v>1302</v>
      </c>
      <c r="G669" t="s">
        <v>247</v>
      </c>
      <c r="H669" t="s">
        <v>1303</v>
      </c>
      <c r="L669" s="35">
        <v>216480</v>
      </c>
    </row>
    <row r="670" spans="1:12" x14ac:dyDescent="0.25">
      <c r="A670">
        <v>0</v>
      </c>
      <c r="B670" t="s">
        <v>244</v>
      </c>
      <c r="C670" s="18">
        <v>45658</v>
      </c>
      <c r="D670" t="str">
        <f>"8368"</f>
        <v>8368</v>
      </c>
      <c r="E670" s="18">
        <v>45386</v>
      </c>
      <c r="F670" t="s">
        <v>1304</v>
      </c>
      <c r="G670" t="s">
        <v>247</v>
      </c>
      <c r="H670" t="s">
        <v>1305</v>
      </c>
      <c r="L670" s="35">
        <v>394720</v>
      </c>
    </row>
    <row r="671" spans="1:12" x14ac:dyDescent="0.25">
      <c r="A671">
        <v>0</v>
      </c>
      <c r="B671" t="s">
        <v>244</v>
      </c>
      <c r="C671" s="18">
        <v>45658</v>
      </c>
      <c r="D671" t="str">
        <f>"8369"</f>
        <v>8369</v>
      </c>
      <c r="E671" s="18">
        <v>45387</v>
      </c>
      <c r="F671" t="str">
        <f>"17588"</f>
        <v>17588</v>
      </c>
      <c r="G671" t="s">
        <v>247</v>
      </c>
      <c r="H671" t="s">
        <v>1306</v>
      </c>
      <c r="L671" s="35">
        <v>30400</v>
      </c>
    </row>
    <row r="672" spans="1:12" x14ac:dyDescent="0.25">
      <c r="A672">
        <v>0</v>
      </c>
      <c r="B672" t="s">
        <v>244</v>
      </c>
      <c r="C672" s="18">
        <v>45658</v>
      </c>
      <c r="D672" t="str">
        <f>"8370"</f>
        <v>8370</v>
      </c>
      <c r="E672" s="18">
        <v>45387</v>
      </c>
      <c r="F672" t="s">
        <v>1307</v>
      </c>
      <c r="G672" t="s">
        <v>247</v>
      </c>
      <c r="H672" t="s">
        <v>1308</v>
      </c>
      <c r="L672" s="35">
        <v>205320</v>
      </c>
    </row>
    <row r="673" spans="1:12" x14ac:dyDescent="0.25">
      <c r="A673">
        <v>0</v>
      </c>
      <c r="B673" t="s">
        <v>244</v>
      </c>
      <c r="C673" s="18">
        <v>45658</v>
      </c>
      <c r="D673" t="str">
        <f>"8371"</f>
        <v>8371</v>
      </c>
      <c r="E673" s="18">
        <v>45392</v>
      </c>
      <c r="F673" t="s">
        <v>1309</v>
      </c>
      <c r="G673" t="s">
        <v>247</v>
      </c>
      <c r="H673" t="s">
        <v>1310</v>
      </c>
      <c r="L673" s="35">
        <v>81760</v>
      </c>
    </row>
    <row r="674" spans="1:12" x14ac:dyDescent="0.25">
      <c r="A674">
        <v>0</v>
      </c>
      <c r="B674" t="s">
        <v>244</v>
      </c>
      <c r="C674" s="18">
        <v>45658</v>
      </c>
      <c r="D674" t="str">
        <f>"8372"</f>
        <v>8372</v>
      </c>
      <c r="E674" s="18">
        <v>45392</v>
      </c>
      <c r="F674" t="s">
        <v>1311</v>
      </c>
      <c r="G674" t="s">
        <v>247</v>
      </c>
      <c r="H674" t="s">
        <v>1312</v>
      </c>
      <c r="L674" s="35">
        <v>29680</v>
      </c>
    </row>
    <row r="675" spans="1:12" x14ac:dyDescent="0.25">
      <c r="A675">
        <v>0</v>
      </c>
      <c r="B675" t="s">
        <v>244</v>
      </c>
      <c r="C675" s="18">
        <v>45658</v>
      </c>
      <c r="D675" t="str">
        <f>"8373"</f>
        <v>8373</v>
      </c>
      <c r="E675" s="18">
        <v>45392</v>
      </c>
      <c r="F675" t="str">
        <f>"280224"</f>
        <v>280224</v>
      </c>
      <c r="G675" t="s">
        <v>247</v>
      </c>
      <c r="H675" t="s">
        <v>1313</v>
      </c>
      <c r="L675" s="35">
        <v>20800</v>
      </c>
    </row>
    <row r="676" spans="1:12" x14ac:dyDescent="0.25">
      <c r="A676">
        <v>0</v>
      </c>
      <c r="B676" t="s">
        <v>244</v>
      </c>
      <c r="C676" s="18">
        <v>45658</v>
      </c>
      <c r="D676" t="str">
        <f>"8374"</f>
        <v>8374</v>
      </c>
      <c r="E676" s="18">
        <v>45392</v>
      </c>
      <c r="F676" t="s">
        <v>1314</v>
      </c>
      <c r="G676" t="s">
        <v>247</v>
      </c>
      <c r="H676" t="s">
        <v>1315</v>
      </c>
      <c r="L676" s="35">
        <v>26160</v>
      </c>
    </row>
    <row r="677" spans="1:12" x14ac:dyDescent="0.25">
      <c r="A677">
        <v>0</v>
      </c>
      <c r="B677" t="s">
        <v>244</v>
      </c>
      <c r="C677" s="18">
        <v>45658</v>
      </c>
      <c r="D677" t="str">
        <f>"8375"</f>
        <v>8375</v>
      </c>
      <c r="E677" s="18">
        <v>45392</v>
      </c>
      <c r="F677" t="s">
        <v>1316</v>
      </c>
      <c r="G677" t="s">
        <v>247</v>
      </c>
      <c r="H677" t="s">
        <v>1317</v>
      </c>
      <c r="L677" s="35">
        <v>73360</v>
      </c>
    </row>
    <row r="678" spans="1:12" x14ac:dyDescent="0.25">
      <c r="A678">
        <v>0</v>
      </c>
      <c r="B678" t="s">
        <v>244</v>
      </c>
      <c r="C678" s="18">
        <v>45658</v>
      </c>
      <c r="D678" t="str">
        <f>"8376"</f>
        <v>8376</v>
      </c>
      <c r="E678" s="18">
        <v>45392</v>
      </c>
      <c r="F678" t="s">
        <v>1318</v>
      </c>
      <c r="G678" t="s">
        <v>247</v>
      </c>
      <c r="H678" t="s">
        <v>1319</v>
      </c>
      <c r="L678" s="35">
        <v>293600</v>
      </c>
    </row>
    <row r="679" spans="1:12" x14ac:dyDescent="0.25">
      <c r="A679">
        <v>0</v>
      </c>
      <c r="B679" t="s">
        <v>244</v>
      </c>
      <c r="C679" s="18">
        <v>45658</v>
      </c>
      <c r="D679" t="str">
        <f>"8377"</f>
        <v>8377</v>
      </c>
      <c r="E679" s="18">
        <v>45392</v>
      </c>
      <c r="F679" t="s">
        <v>1320</v>
      </c>
      <c r="G679" t="s">
        <v>247</v>
      </c>
      <c r="H679" t="s">
        <v>1321</v>
      </c>
      <c r="L679" s="35">
        <v>29040</v>
      </c>
    </row>
    <row r="680" spans="1:12" x14ac:dyDescent="0.25">
      <c r="A680">
        <v>0</v>
      </c>
      <c r="B680" t="s">
        <v>244</v>
      </c>
      <c r="C680" s="18">
        <v>45658</v>
      </c>
      <c r="D680" t="str">
        <f>"8378"</f>
        <v>8378</v>
      </c>
      <c r="E680" s="18">
        <v>45393</v>
      </c>
      <c r="F680" t="s">
        <v>1322</v>
      </c>
      <c r="G680" t="s">
        <v>247</v>
      </c>
      <c r="H680" t="s">
        <v>1323</v>
      </c>
      <c r="L680" s="35">
        <v>24000</v>
      </c>
    </row>
    <row r="681" spans="1:12" x14ac:dyDescent="0.25">
      <c r="A681">
        <v>0</v>
      </c>
      <c r="B681" t="s">
        <v>244</v>
      </c>
      <c r="C681" s="18">
        <v>45658</v>
      </c>
      <c r="D681" t="str">
        <f>"8379"</f>
        <v>8379</v>
      </c>
      <c r="E681" s="18">
        <v>45394</v>
      </c>
      <c r="F681" t="s">
        <v>1324</v>
      </c>
      <c r="G681" t="s">
        <v>247</v>
      </c>
      <c r="H681" t="s">
        <v>1325</v>
      </c>
      <c r="L681" s="35">
        <v>32400</v>
      </c>
    </row>
    <row r="682" spans="1:12" x14ac:dyDescent="0.25">
      <c r="A682">
        <v>0</v>
      </c>
      <c r="B682" t="s">
        <v>244</v>
      </c>
      <c r="C682" s="18">
        <v>45658</v>
      </c>
      <c r="D682" t="str">
        <f>"8380"</f>
        <v>8380</v>
      </c>
      <c r="E682" s="18">
        <v>45397</v>
      </c>
      <c r="F682" s="32">
        <v>45352</v>
      </c>
      <c r="G682" t="s">
        <v>247</v>
      </c>
      <c r="H682" t="s">
        <v>1326</v>
      </c>
      <c r="L682" s="35">
        <v>89760</v>
      </c>
    </row>
    <row r="683" spans="1:12" x14ac:dyDescent="0.25">
      <c r="A683">
        <v>0</v>
      </c>
      <c r="B683" t="s">
        <v>244</v>
      </c>
      <c r="C683" s="18">
        <v>45658</v>
      </c>
      <c r="D683" t="str">
        <f>"8381"</f>
        <v>8381</v>
      </c>
      <c r="E683" t="str">
        <f>"00013068"</f>
        <v>00013068</v>
      </c>
      <c r="G683" t="s">
        <v>247</v>
      </c>
      <c r="H683" t="s">
        <v>1327</v>
      </c>
      <c r="L683" s="35">
        <v>17091425.82</v>
      </c>
    </row>
    <row r="684" spans="1:12" x14ac:dyDescent="0.25">
      <c r="A684">
        <v>0</v>
      </c>
      <c r="B684" t="s">
        <v>244</v>
      </c>
      <c r="C684" s="18">
        <v>45658</v>
      </c>
      <c r="D684" t="str">
        <f>"8382"</f>
        <v>8382</v>
      </c>
      <c r="E684" s="18">
        <v>45398</v>
      </c>
      <c r="F684" t="s">
        <v>1328</v>
      </c>
      <c r="G684" t="s">
        <v>247</v>
      </c>
      <c r="H684" t="s">
        <v>1329</v>
      </c>
      <c r="L684" s="35">
        <v>425760</v>
      </c>
    </row>
    <row r="685" spans="1:12" x14ac:dyDescent="0.25">
      <c r="A685">
        <v>0</v>
      </c>
      <c r="B685" t="s">
        <v>244</v>
      </c>
      <c r="C685" s="18">
        <v>45658</v>
      </c>
      <c r="D685" t="str">
        <f>"8383"</f>
        <v>8383</v>
      </c>
      <c r="E685" s="18">
        <v>45399</v>
      </c>
      <c r="F685" t="s">
        <v>1330</v>
      </c>
      <c r="G685" t="s">
        <v>247</v>
      </c>
      <c r="H685" t="s">
        <v>1331</v>
      </c>
      <c r="L685" s="35">
        <v>52080</v>
      </c>
    </row>
    <row r="686" spans="1:12" x14ac:dyDescent="0.25">
      <c r="A686">
        <v>0</v>
      </c>
      <c r="B686" t="s">
        <v>244</v>
      </c>
      <c r="C686" s="18">
        <v>45658</v>
      </c>
      <c r="D686" t="str">
        <f>"8384"</f>
        <v>8384</v>
      </c>
      <c r="E686" s="18">
        <v>45399</v>
      </c>
      <c r="F686" t="str">
        <f>"334195"</f>
        <v>334195</v>
      </c>
      <c r="G686" t="s">
        <v>247</v>
      </c>
      <c r="H686" t="s">
        <v>1332</v>
      </c>
      <c r="L686" s="35">
        <v>600000</v>
      </c>
    </row>
    <row r="687" spans="1:12" x14ac:dyDescent="0.25">
      <c r="A687">
        <v>0</v>
      </c>
      <c r="B687" t="s">
        <v>244</v>
      </c>
      <c r="C687" s="18">
        <v>45658</v>
      </c>
      <c r="D687" t="str">
        <f>"8385"</f>
        <v>8385</v>
      </c>
      <c r="E687" s="18">
        <v>45401</v>
      </c>
      <c r="F687" t="str">
        <f>"9608"</f>
        <v>9608</v>
      </c>
      <c r="G687" t="s">
        <v>247</v>
      </c>
      <c r="H687" t="s">
        <v>1333</v>
      </c>
      <c r="L687" s="35">
        <v>567360</v>
      </c>
    </row>
    <row r="688" spans="1:12" x14ac:dyDescent="0.25">
      <c r="A688">
        <v>0</v>
      </c>
      <c r="B688" t="s">
        <v>244</v>
      </c>
      <c r="C688" s="18">
        <v>45658</v>
      </c>
      <c r="D688" t="str">
        <f>"8386"</f>
        <v>8386</v>
      </c>
      <c r="E688" s="18">
        <v>45401</v>
      </c>
      <c r="F688" t="s">
        <v>1334</v>
      </c>
      <c r="G688" t="s">
        <v>247</v>
      </c>
      <c r="H688" t="s">
        <v>1335</v>
      </c>
      <c r="L688" s="35">
        <v>24000</v>
      </c>
    </row>
    <row r="689" spans="1:12" x14ac:dyDescent="0.25">
      <c r="A689">
        <v>0</v>
      </c>
      <c r="B689" t="s">
        <v>244</v>
      </c>
      <c r="C689" s="18">
        <v>45658</v>
      </c>
      <c r="D689" t="str">
        <f>"8387"</f>
        <v>8387</v>
      </c>
      <c r="E689" s="18">
        <v>45402</v>
      </c>
      <c r="F689" t="str">
        <f>"17785"</f>
        <v>17785</v>
      </c>
      <c r="G689" t="s">
        <v>247</v>
      </c>
      <c r="H689" t="s">
        <v>1336</v>
      </c>
      <c r="L689" s="35">
        <v>80000</v>
      </c>
    </row>
    <row r="690" spans="1:12" x14ac:dyDescent="0.25">
      <c r="A690">
        <v>0</v>
      </c>
      <c r="B690" t="s">
        <v>244</v>
      </c>
      <c r="C690" s="18">
        <v>45658</v>
      </c>
      <c r="D690" t="str">
        <f>"8388"</f>
        <v>8388</v>
      </c>
      <c r="E690" s="18">
        <v>45408</v>
      </c>
      <c r="F690" t="s">
        <v>1337</v>
      </c>
      <c r="G690" t="s">
        <v>247</v>
      </c>
      <c r="H690" t="s">
        <v>1338</v>
      </c>
      <c r="L690" s="35">
        <v>374600</v>
      </c>
    </row>
    <row r="691" spans="1:12" x14ac:dyDescent="0.25">
      <c r="A691">
        <v>0</v>
      </c>
      <c r="B691" t="s">
        <v>244</v>
      </c>
      <c r="C691" s="18">
        <v>45658</v>
      </c>
      <c r="D691" t="str">
        <f>"8389"</f>
        <v>8389</v>
      </c>
      <c r="E691" s="18">
        <v>45414</v>
      </c>
      <c r="F691" t="str">
        <f>"245403"</f>
        <v>245403</v>
      </c>
      <c r="G691" t="s">
        <v>247</v>
      </c>
      <c r="H691" t="s">
        <v>1339</v>
      </c>
      <c r="L691" s="35">
        <v>40880</v>
      </c>
    </row>
    <row r="692" spans="1:12" x14ac:dyDescent="0.25">
      <c r="A692">
        <v>0</v>
      </c>
      <c r="B692" t="s">
        <v>244</v>
      </c>
      <c r="C692" s="18">
        <v>45658</v>
      </c>
      <c r="D692" t="str">
        <f>"8390"</f>
        <v>8390</v>
      </c>
      <c r="E692" s="18">
        <v>45419</v>
      </c>
      <c r="F692" t="s">
        <v>1340</v>
      </c>
      <c r="G692" t="s">
        <v>247</v>
      </c>
      <c r="H692" t="s">
        <v>1341</v>
      </c>
      <c r="L692" s="35">
        <v>12000</v>
      </c>
    </row>
    <row r="693" spans="1:12" x14ac:dyDescent="0.25">
      <c r="A693">
        <v>0</v>
      </c>
      <c r="B693" t="s">
        <v>244</v>
      </c>
      <c r="C693" s="18">
        <v>45658</v>
      </c>
      <c r="D693" t="str">
        <f>"8391"</f>
        <v>8391</v>
      </c>
      <c r="E693" s="18">
        <v>45421</v>
      </c>
      <c r="F693" t="s">
        <v>1342</v>
      </c>
      <c r="G693" t="s">
        <v>247</v>
      </c>
      <c r="H693" t="s">
        <v>1343</v>
      </c>
      <c r="L693" s="35">
        <v>1109360</v>
      </c>
    </row>
    <row r="694" spans="1:12" x14ac:dyDescent="0.25">
      <c r="A694">
        <v>0</v>
      </c>
      <c r="B694" t="s">
        <v>244</v>
      </c>
      <c r="C694" s="18">
        <v>45658</v>
      </c>
      <c r="D694" t="str">
        <f>"8392"</f>
        <v>8392</v>
      </c>
      <c r="E694" s="18">
        <v>45422</v>
      </c>
      <c r="G694" t="s">
        <v>247</v>
      </c>
      <c r="H694" t="s">
        <v>1344</v>
      </c>
      <c r="L694" s="35">
        <v>8807988.8100000005</v>
      </c>
    </row>
    <row r="695" spans="1:12" x14ac:dyDescent="0.25">
      <c r="A695">
        <v>0</v>
      </c>
      <c r="B695" t="s">
        <v>244</v>
      </c>
      <c r="C695" s="18">
        <v>45658</v>
      </c>
      <c r="D695" t="str">
        <f>"8393"</f>
        <v>8393</v>
      </c>
      <c r="E695" s="18">
        <v>45425</v>
      </c>
      <c r="F695" t="str">
        <f>"165987"</f>
        <v>165987</v>
      </c>
      <c r="G695" t="s">
        <v>247</v>
      </c>
      <c r="H695" t="s">
        <v>1345</v>
      </c>
      <c r="L695" s="35">
        <v>62560</v>
      </c>
    </row>
    <row r="696" spans="1:12" x14ac:dyDescent="0.25">
      <c r="A696">
        <v>0</v>
      </c>
      <c r="B696" t="s">
        <v>244</v>
      </c>
      <c r="C696" s="18">
        <v>45658</v>
      </c>
      <c r="D696" t="str">
        <f>"8394"</f>
        <v>8394</v>
      </c>
      <c r="E696" s="18">
        <v>45426</v>
      </c>
      <c r="F696" t="s">
        <v>1346</v>
      </c>
      <c r="G696" t="s">
        <v>247</v>
      </c>
      <c r="H696" t="s">
        <v>1347</v>
      </c>
      <c r="L696" s="35">
        <v>131680</v>
      </c>
    </row>
    <row r="697" spans="1:12" x14ac:dyDescent="0.25">
      <c r="A697">
        <v>0</v>
      </c>
      <c r="B697" t="s">
        <v>244</v>
      </c>
      <c r="C697" s="18">
        <v>45658</v>
      </c>
      <c r="D697" t="str">
        <f>"8395"</f>
        <v>8395</v>
      </c>
      <c r="E697" s="18">
        <v>45427</v>
      </c>
      <c r="F697" t="str">
        <f>"01616"</f>
        <v>01616</v>
      </c>
      <c r="G697" t="s">
        <v>247</v>
      </c>
      <c r="H697" t="s">
        <v>1348</v>
      </c>
      <c r="L697" s="35">
        <v>691200</v>
      </c>
    </row>
    <row r="698" spans="1:12" x14ac:dyDescent="0.25">
      <c r="A698">
        <v>0</v>
      </c>
      <c r="B698" t="s">
        <v>244</v>
      </c>
      <c r="C698" s="18">
        <v>45658</v>
      </c>
      <c r="D698" t="str">
        <f>"8396"</f>
        <v>8396</v>
      </c>
      <c r="E698" s="18">
        <v>45427</v>
      </c>
      <c r="F698" t="str">
        <f>"1306"</f>
        <v>1306</v>
      </c>
      <c r="G698" t="s">
        <v>247</v>
      </c>
      <c r="H698" t="s">
        <v>1349</v>
      </c>
      <c r="L698" s="35">
        <v>904000</v>
      </c>
    </row>
    <row r="699" spans="1:12" x14ac:dyDescent="0.25">
      <c r="A699">
        <v>0</v>
      </c>
      <c r="B699" t="s">
        <v>244</v>
      </c>
      <c r="C699" s="18">
        <v>45658</v>
      </c>
      <c r="D699" t="str">
        <f>"8397"</f>
        <v>8397</v>
      </c>
      <c r="E699" s="18">
        <v>45427</v>
      </c>
      <c r="F699" t="s">
        <v>1350</v>
      </c>
      <c r="G699" t="s">
        <v>247</v>
      </c>
      <c r="H699" t="s">
        <v>1351</v>
      </c>
      <c r="L699" s="35">
        <v>111840</v>
      </c>
    </row>
    <row r="700" spans="1:12" x14ac:dyDescent="0.25">
      <c r="A700">
        <v>0</v>
      </c>
      <c r="B700" t="s">
        <v>244</v>
      </c>
      <c r="C700" s="18">
        <v>45658</v>
      </c>
      <c r="D700" t="str">
        <f>"8398"</f>
        <v>8398</v>
      </c>
      <c r="E700" s="18">
        <v>45429</v>
      </c>
      <c r="F700" t="str">
        <f>"17984"</f>
        <v>17984</v>
      </c>
      <c r="G700" t="s">
        <v>247</v>
      </c>
      <c r="H700" t="s">
        <v>1352</v>
      </c>
      <c r="L700" s="35">
        <v>40000</v>
      </c>
    </row>
    <row r="701" spans="1:12" x14ac:dyDescent="0.25">
      <c r="A701">
        <v>0</v>
      </c>
      <c r="B701" t="s">
        <v>244</v>
      </c>
      <c r="C701" s="18">
        <v>45658</v>
      </c>
      <c r="D701" t="str">
        <f>"8399"</f>
        <v>8399</v>
      </c>
      <c r="E701" s="18">
        <v>45444</v>
      </c>
      <c r="F701" t="str">
        <f>"18140"</f>
        <v>18140</v>
      </c>
      <c r="G701" t="s">
        <v>247</v>
      </c>
      <c r="H701" t="s">
        <v>1353</v>
      </c>
      <c r="L701" s="35">
        <v>157152</v>
      </c>
    </row>
    <row r="702" spans="1:12" x14ac:dyDescent="0.25">
      <c r="A702">
        <v>0</v>
      </c>
      <c r="B702" t="s">
        <v>244</v>
      </c>
      <c r="C702" s="18">
        <v>45658</v>
      </c>
      <c r="D702" t="str">
        <f>"8400"</f>
        <v>8400</v>
      </c>
      <c r="E702" s="18">
        <v>45446</v>
      </c>
      <c r="F702" t="s">
        <v>1354</v>
      </c>
      <c r="G702" t="s">
        <v>247</v>
      </c>
      <c r="H702" t="s">
        <v>1355</v>
      </c>
      <c r="L702" s="35">
        <v>1600000</v>
      </c>
    </row>
    <row r="703" spans="1:12" x14ac:dyDescent="0.25">
      <c r="A703">
        <v>0</v>
      </c>
      <c r="B703" t="s">
        <v>244</v>
      </c>
      <c r="C703" s="18">
        <v>45658</v>
      </c>
      <c r="D703" t="str">
        <f>"8401"</f>
        <v>8401</v>
      </c>
      <c r="E703" s="18">
        <v>45447</v>
      </c>
      <c r="F703" t="s">
        <v>1356</v>
      </c>
      <c r="G703" t="s">
        <v>247</v>
      </c>
      <c r="H703" t="s">
        <v>1357</v>
      </c>
      <c r="L703" s="35">
        <v>643920</v>
      </c>
    </row>
    <row r="704" spans="1:12" x14ac:dyDescent="0.25">
      <c r="A704">
        <v>0</v>
      </c>
      <c r="B704" t="s">
        <v>244</v>
      </c>
      <c r="C704" s="18">
        <v>45658</v>
      </c>
      <c r="D704" t="str">
        <f>"8402"</f>
        <v>8402</v>
      </c>
      <c r="E704" s="18">
        <v>45447</v>
      </c>
      <c r="F704" t="str">
        <f>"01703"</f>
        <v>01703</v>
      </c>
      <c r="G704" t="s">
        <v>247</v>
      </c>
      <c r="H704" t="s">
        <v>1358</v>
      </c>
      <c r="L704" s="35">
        <v>524000</v>
      </c>
    </row>
    <row r="705" spans="1:12" x14ac:dyDescent="0.25">
      <c r="A705">
        <v>0</v>
      </c>
      <c r="B705" t="s">
        <v>244</v>
      </c>
      <c r="C705" s="18">
        <v>45658</v>
      </c>
      <c r="D705" t="str">
        <f>"8403"</f>
        <v>8403</v>
      </c>
      <c r="E705" s="18">
        <v>45447</v>
      </c>
      <c r="F705" t="str">
        <f>"1427"</f>
        <v>1427</v>
      </c>
      <c r="G705" t="s">
        <v>247</v>
      </c>
      <c r="H705" t="s">
        <v>1359</v>
      </c>
      <c r="L705" s="35">
        <v>640000</v>
      </c>
    </row>
    <row r="706" spans="1:12" x14ac:dyDescent="0.25">
      <c r="A706">
        <v>0</v>
      </c>
      <c r="B706" t="s">
        <v>244</v>
      </c>
      <c r="C706" s="18">
        <v>45658</v>
      </c>
      <c r="D706" t="str">
        <f>"8404"</f>
        <v>8404</v>
      </c>
      <c r="E706" s="18">
        <v>45447</v>
      </c>
      <c r="F706" t="s">
        <v>1360</v>
      </c>
      <c r="G706" t="s">
        <v>247</v>
      </c>
      <c r="H706" t="s">
        <v>1361</v>
      </c>
      <c r="L706" s="35">
        <v>632400</v>
      </c>
    </row>
    <row r="707" spans="1:12" x14ac:dyDescent="0.25">
      <c r="A707">
        <v>0</v>
      </c>
      <c r="B707" t="s">
        <v>244</v>
      </c>
      <c r="C707" s="18">
        <v>45658</v>
      </c>
      <c r="D707" t="str">
        <f>"8405"</f>
        <v>8405</v>
      </c>
      <c r="E707" s="18">
        <v>45447</v>
      </c>
      <c r="F707" t="s">
        <v>1362</v>
      </c>
      <c r="G707" t="s">
        <v>247</v>
      </c>
      <c r="H707" t="s">
        <v>1363</v>
      </c>
      <c r="L707" s="35">
        <v>87600</v>
      </c>
    </row>
    <row r="708" spans="1:12" x14ac:dyDescent="0.25">
      <c r="A708">
        <v>0</v>
      </c>
      <c r="B708" t="s">
        <v>244</v>
      </c>
      <c r="C708" s="18">
        <v>45658</v>
      </c>
      <c r="D708" t="str">
        <f>"8406"</f>
        <v>8406</v>
      </c>
      <c r="E708" s="18">
        <v>45448</v>
      </c>
      <c r="F708" t="str">
        <f>"181023"</f>
        <v>181023</v>
      </c>
      <c r="G708" t="s">
        <v>247</v>
      </c>
      <c r="H708" t="s">
        <v>1364</v>
      </c>
      <c r="L708" s="35">
        <v>130000</v>
      </c>
    </row>
    <row r="709" spans="1:12" x14ac:dyDescent="0.25">
      <c r="A709">
        <v>0</v>
      </c>
      <c r="B709" t="s">
        <v>244</v>
      </c>
      <c r="C709" s="18">
        <v>45658</v>
      </c>
      <c r="D709" t="str">
        <f>"8407"</f>
        <v>8407</v>
      </c>
      <c r="E709" s="18">
        <v>45448</v>
      </c>
      <c r="F709" s="32">
        <v>45200</v>
      </c>
      <c r="G709" t="s">
        <v>247</v>
      </c>
      <c r="H709" t="s">
        <v>1365</v>
      </c>
      <c r="L709" s="35">
        <v>16000</v>
      </c>
    </row>
    <row r="710" spans="1:12" x14ac:dyDescent="0.25">
      <c r="A710">
        <v>0</v>
      </c>
      <c r="B710" t="s">
        <v>244</v>
      </c>
      <c r="C710" s="18">
        <v>45658</v>
      </c>
      <c r="D710" t="str">
        <f>"8408"</f>
        <v>8408</v>
      </c>
      <c r="E710" s="18">
        <v>45448</v>
      </c>
      <c r="F710" t="str">
        <f>"247582"</f>
        <v>247582</v>
      </c>
      <c r="G710" t="s">
        <v>247</v>
      </c>
      <c r="H710" t="s">
        <v>1366</v>
      </c>
      <c r="L710" s="35">
        <v>92800</v>
      </c>
    </row>
    <row r="711" spans="1:12" x14ac:dyDescent="0.25">
      <c r="A711">
        <v>0</v>
      </c>
      <c r="B711" t="s">
        <v>244</v>
      </c>
      <c r="C711" s="18">
        <v>45658</v>
      </c>
      <c r="D711" t="str">
        <f>"8409"</f>
        <v>8409</v>
      </c>
      <c r="E711" s="18">
        <v>45449</v>
      </c>
      <c r="F711" s="18">
        <v>45385</v>
      </c>
      <c r="G711" t="s">
        <v>247</v>
      </c>
      <c r="H711" t="s">
        <v>1367</v>
      </c>
      <c r="L711" s="35">
        <v>80000</v>
      </c>
    </row>
    <row r="712" spans="1:12" x14ac:dyDescent="0.25">
      <c r="A712">
        <v>0</v>
      </c>
      <c r="B712" t="s">
        <v>244</v>
      </c>
      <c r="C712" s="18">
        <v>45658</v>
      </c>
      <c r="D712" t="str">
        <f>"8410"</f>
        <v>8410</v>
      </c>
      <c r="E712" s="18">
        <v>45450</v>
      </c>
      <c r="F712" s="18">
        <v>45266</v>
      </c>
      <c r="G712" t="s">
        <v>247</v>
      </c>
      <c r="H712" t="s">
        <v>1368</v>
      </c>
      <c r="L712" s="35">
        <v>1692000</v>
      </c>
    </row>
    <row r="713" spans="1:12" x14ac:dyDescent="0.25">
      <c r="A713">
        <v>0</v>
      </c>
      <c r="B713" t="s">
        <v>244</v>
      </c>
      <c r="C713" s="18">
        <v>45658</v>
      </c>
      <c r="D713" t="str">
        <f>"8411"</f>
        <v>8411</v>
      </c>
      <c r="E713" s="18">
        <v>45450</v>
      </c>
      <c r="G713" t="s">
        <v>247</v>
      </c>
      <c r="H713" t="s">
        <v>1369</v>
      </c>
      <c r="L713" s="35">
        <v>5310559.2300000004</v>
      </c>
    </row>
    <row r="714" spans="1:12" x14ac:dyDescent="0.25">
      <c r="A714">
        <v>0</v>
      </c>
      <c r="B714" t="s">
        <v>244</v>
      </c>
      <c r="C714" s="18">
        <v>45658</v>
      </c>
      <c r="D714" t="str">
        <f>"8412"</f>
        <v>8412</v>
      </c>
      <c r="E714" s="18">
        <v>45450</v>
      </c>
      <c r="F714" t="s">
        <v>1370</v>
      </c>
      <c r="G714" t="s">
        <v>247</v>
      </c>
      <c r="H714" t="s">
        <v>1371</v>
      </c>
      <c r="L714" s="35">
        <v>164880</v>
      </c>
    </row>
    <row r="715" spans="1:12" x14ac:dyDescent="0.25">
      <c r="A715">
        <v>0</v>
      </c>
      <c r="B715" t="s">
        <v>244</v>
      </c>
      <c r="C715" s="18">
        <v>45658</v>
      </c>
      <c r="D715" t="str">
        <f>"8413"</f>
        <v>8413</v>
      </c>
      <c r="E715" s="18">
        <v>45450</v>
      </c>
      <c r="F715" t="s">
        <v>1372</v>
      </c>
      <c r="G715" t="s">
        <v>247</v>
      </c>
      <c r="H715" t="s">
        <v>1373</v>
      </c>
      <c r="L715" s="35">
        <v>292720</v>
      </c>
    </row>
    <row r="716" spans="1:12" x14ac:dyDescent="0.25">
      <c r="A716">
        <v>0</v>
      </c>
      <c r="B716" t="s">
        <v>244</v>
      </c>
      <c r="C716" s="18">
        <v>45658</v>
      </c>
      <c r="D716" t="str">
        <f>"8414"</f>
        <v>8414</v>
      </c>
      <c r="E716" s="18">
        <v>45453</v>
      </c>
      <c r="F716" t="s">
        <v>1374</v>
      </c>
      <c r="G716" t="s">
        <v>247</v>
      </c>
      <c r="H716" t="s">
        <v>1375</v>
      </c>
      <c r="L716" s="35">
        <v>105360</v>
      </c>
    </row>
    <row r="717" spans="1:12" x14ac:dyDescent="0.25">
      <c r="A717">
        <v>0</v>
      </c>
      <c r="B717" t="s">
        <v>244</v>
      </c>
      <c r="C717" s="18">
        <v>45658</v>
      </c>
      <c r="D717" t="str">
        <f>"8415"</f>
        <v>8415</v>
      </c>
      <c r="E717" s="18">
        <v>45453</v>
      </c>
      <c r="F717" t="s">
        <v>1376</v>
      </c>
      <c r="G717" t="s">
        <v>247</v>
      </c>
      <c r="H717" t="s">
        <v>1377</v>
      </c>
      <c r="L717" s="35">
        <v>207840</v>
      </c>
    </row>
    <row r="718" spans="1:12" x14ac:dyDescent="0.25">
      <c r="A718">
        <v>0</v>
      </c>
      <c r="B718" t="s">
        <v>244</v>
      </c>
      <c r="C718" s="18">
        <v>45658</v>
      </c>
      <c r="D718" t="str">
        <f>"8416"</f>
        <v>8416</v>
      </c>
      <c r="E718" s="18">
        <v>45454</v>
      </c>
      <c r="F718" t="str">
        <f>"240655"</f>
        <v>240655</v>
      </c>
      <c r="G718" t="s">
        <v>247</v>
      </c>
      <c r="H718" t="s">
        <v>1378</v>
      </c>
      <c r="L718" s="35">
        <v>28240</v>
      </c>
    </row>
    <row r="719" spans="1:12" x14ac:dyDescent="0.25">
      <c r="A719">
        <v>0</v>
      </c>
      <c r="B719" t="s">
        <v>244</v>
      </c>
      <c r="C719" s="18">
        <v>45658</v>
      </c>
      <c r="D719" t="str">
        <f>"8417"</f>
        <v>8417</v>
      </c>
      <c r="E719" s="18">
        <v>45455</v>
      </c>
      <c r="F719" t="s">
        <v>1379</v>
      </c>
      <c r="G719" t="s">
        <v>247</v>
      </c>
      <c r="H719" t="s">
        <v>1380</v>
      </c>
      <c r="L719" s="35">
        <v>160080</v>
      </c>
    </row>
    <row r="720" spans="1:12" x14ac:dyDescent="0.25">
      <c r="A720">
        <v>0</v>
      </c>
      <c r="B720" t="s">
        <v>244</v>
      </c>
      <c r="C720" s="18">
        <v>45658</v>
      </c>
      <c r="D720" t="str">
        <f>"8418"</f>
        <v>8418</v>
      </c>
      <c r="E720" s="18">
        <v>45457</v>
      </c>
      <c r="F720" t="str">
        <f>"18276"</f>
        <v>18276</v>
      </c>
      <c r="G720" t="s">
        <v>247</v>
      </c>
      <c r="H720" t="s">
        <v>1381</v>
      </c>
      <c r="L720" s="35">
        <v>305000</v>
      </c>
    </row>
    <row r="721" spans="1:12" x14ac:dyDescent="0.25">
      <c r="A721">
        <v>0</v>
      </c>
      <c r="B721" t="s">
        <v>244</v>
      </c>
      <c r="C721" s="18">
        <v>45658</v>
      </c>
      <c r="D721" t="str">
        <f>"8419"</f>
        <v>8419</v>
      </c>
      <c r="E721" s="18">
        <v>45462</v>
      </c>
      <c r="F721" t="s">
        <v>1382</v>
      </c>
      <c r="G721" t="s">
        <v>247</v>
      </c>
      <c r="H721" t="s">
        <v>1383</v>
      </c>
      <c r="L721" s="35">
        <v>30880</v>
      </c>
    </row>
    <row r="722" spans="1:12" x14ac:dyDescent="0.25">
      <c r="A722">
        <v>0</v>
      </c>
      <c r="B722" t="s">
        <v>244</v>
      </c>
      <c r="C722" s="18">
        <v>45658</v>
      </c>
      <c r="D722" t="str">
        <f>"8420"</f>
        <v>8420</v>
      </c>
      <c r="E722" s="18">
        <v>45462</v>
      </c>
      <c r="F722" t="s">
        <v>1384</v>
      </c>
      <c r="G722" t="s">
        <v>247</v>
      </c>
      <c r="H722" t="s">
        <v>1385</v>
      </c>
      <c r="L722" s="35">
        <v>43120</v>
      </c>
    </row>
    <row r="723" spans="1:12" x14ac:dyDescent="0.25">
      <c r="A723">
        <v>0</v>
      </c>
      <c r="B723" t="s">
        <v>244</v>
      </c>
      <c r="C723" s="18">
        <v>45658</v>
      </c>
      <c r="D723" t="str">
        <f>"8421"</f>
        <v>8421</v>
      </c>
      <c r="E723" s="18">
        <v>45463</v>
      </c>
      <c r="F723" t="s">
        <v>1386</v>
      </c>
      <c r="G723" t="s">
        <v>247</v>
      </c>
      <c r="H723" t="s">
        <v>1387</v>
      </c>
      <c r="L723" s="35">
        <v>1369762</v>
      </c>
    </row>
    <row r="724" spans="1:12" x14ac:dyDescent="0.25">
      <c r="A724">
        <v>0</v>
      </c>
      <c r="B724" t="s">
        <v>244</v>
      </c>
      <c r="C724" s="18">
        <v>45658</v>
      </c>
      <c r="D724" t="str">
        <f>"8422"</f>
        <v>8422</v>
      </c>
      <c r="E724" s="18">
        <v>45463</v>
      </c>
      <c r="F724" t="s">
        <v>1388</v>
      </c>
      <c r="G724" t="s">
        <v>247</v>
      </c>
      <c r="H724" t="s">
        <v>1389</v>
      </c>
      <c r="L724" s="35">
        <v>65440</v>
      </c>
    </row>
    <row r="725" spans="1:12" x14ac:dyDescent="0.25">
      <c r="A725">
        <v>0</v>
      </c>
      <c r="B725" t="s">
        <v>244</v>
      </c>
      <c r="C725" s="18">
        <v>45658</v>
      </c>
      <c r="D725" t="str">
        <f>"8423"</f>
        <v>8423</v>
      </c>
      <c r="E725" s="18">
        <v>45463</v>
      </c>
      <c r="F725" t="str">
        <f>"212422"</f>
        <v>212422</v>
      </c>
      <c r="G725" t="s">
        <v>247</v>
      </c>
      <c r="H725" t="s">
        <v>1390</v>
      </c>
      <c r="L725" s="35">
        <v>45040</v>
      </c>
    </row>
    <row r="726" spans="1:12" x14ac:dyDescent="0.25">
      <c r="A726">
        <v>0</v>
      </c>
      <c r="B726" t="s">
        <v>244</v>
      </c>
      <c r="C726" s="18">
        <v>45658</v>
      </c>
      <c r="D726" t="str">
        <f>"8424"</f>
        <v>8424</v>
      </c>
      <c r="E726" s="18">
        <v>45463</v>
      </c>
      <c r="F726" t="s">
        <v>1391</v>
      </c>
      <c r="G726" t="s">
        <v>247</v>
      </c>
      <c r="H726" t="s">
        <v>1392</v>
      </c>
      <c r="L726" s="35">
        <v>123920</v>
      </c>
    </row>
    <row r="727" spans="1:12" x14ac:dyDescent="0.25">
      <c r="A727">
        <v>0</v>
      </c>
      <c r="B727" t="s">
        <v>244</v>
      </c>
      <c r="C727" s="18">
        <v>45658</v>
      </c>
      <c r="D727" t="str">
        <f>"8425"</f>
        <v>8425</v>
      </c>
      <c r="E727" s="18">
        <v>45464</v>
      </c>
      <c r="F727" t="s">
        <v>1393</v>
      </c>
      <c r="G727" t="s">
        <v>247</v>
      </c>
      <c r="H727" t="s">
        <v>1394</v>
      </c>
      <c r="L727" s="35">
        <v>93600</v>
      </c>
    </row>
    <row r="728" spans="1:12" x14ac:dyDescent="0.25">
      <c r="A728">
        <v>0</v>
      </c>
      <c r="B728" t="s">
        <v>244</v>
      </c>
      <c r="C728" s="18">
        <v>45658</v>
      </c>
      <c r="D728" t="str">
        <f>"8426"</f>
        <v>8426</v>
      </c>
      <c r="E728" s="18">
        <v>45474</v>
      </c>
      <c r="F728" t="str">
        <f>"273"</f>
        <v>273</v>
      </c>
      <c r="G728" t="s">
        <v>247</v>
      </c>
      <c r="H728" t="s">
        <v>1395</v>
      </c>
      <c r="L728" s="35">
        <v>43520</v>
      </c>
    </row>
    <row r="729" spans="1:12" x14ac:dyDescent="0.25">
      <c r="A729">
        <v>0</v>
      </c>
      <c r="B729" t="s">
        <v>250</v>
      </c>
      <c r="C729" s="18">
        <v>45870</v>
      </c>
      <c r="D729" t="str">
        <f>"8426"</f>
        <v>8426</v>
      </c>
      <c r="E729" s="18">
        <v>45870</v>
      </c>
      <c r="F729" t="str">
        <f>"25083"</f>
        <v>25083</v>
      </c>
      <c r="G729" t="s">
        <v>247</v>
      </c>
      <c r="H729" t="s">
        <v>1396</v>
      </c>
      <c r="L729" s="35">
        <v>16000</v>
      </c>
    </row>
    <row r="730" spans="1:12" x14ac:dyDescent="0.25">
      <c r="A730">
        <v>0</v>
      </c>
      <c r="B730" t="s">
        <v>244</v>
      </c>
      <c r="C730" s="18">
        <v>45658</v>
      </c>
      <c r="D730" t="str">
        <f>"8427"</f>
        <v>8427</v>
      </c>
      <c r="E730" s="18">
        <v>45474</v>
      </c>
      <c r="F730" t="str">
        <f>"16202"</f>
        <v>16202</v>
      </c>
      <c r="G730" t="s">
        <v>247</v>
      </c>
      <c r="H730" t="s">
        <v>1397</v>
      </c>
      <c r="L730" s="35">
        <v>600000</v>
      </c>
    </row>
    <row r="731" spans="1:12" x14ac:dyDescent="0.25">
      <c r="A731">
        <v>0</v>
      </c>
      <c r="B731" t="s">
        <v>244</v>
      </c>
      <c r="C731" s="18">
        <v>45658</v>
      </c>
      <c r="D731" t="str">
        <f>"8428"</f>
        <v>8428</v>
      </c>
      <c r="E731" s="18">
        <v>45474</v>
      </c>
      <c r="F731" t="s">
        <v>1398</v>
      </c>
      <c r="G731" t="s">
        <v>247</v>
      </c>
      <c r="H731" t="s">
        <v>1399</v>
      </c>
      <c r="L731" s="35">
        <v>193200</v>
      </c>
    </row>
    <row r="732" spans="1:12" x14ac:dyDescent="0.25">
      <c r="A732">
        <v>0</v>
      </c>
      <c r="B732" t="s">
        <v>244</v>
      </c>
      <c r="C732" s="18">
        <v>45658</v>
      </c>
      <c r="D732" t="str">
        <f>"8429"</f>
        <v>8429</v>
      </c>
      <c r="E732" s="18">
        <v>45474</v>
      </c>
      <c r="F732" t="s">
        <v>1400</v>
      </c>
      <c r="G732" t="s">
        <v>247</v>
      </c>
      <c r="H732" t="s">
        <v>1401</v>
      </c>
      <c r="L732" s="35">
        <v>96000</v>
      </c>
    </row>
    <row r="733" spans="1:12" x14ac:dyDescent="0.25">
      <c r="A733">
        <v>0</v>
      </c>
      <c r="B733" t="s">
        <v>244</v>
      </c>
      <c r="C733" s="18">
        <v>45658</v>
      </c>
      <c r="D733" t="str">
        <f>"8430"</f>
        <v>8430</v>
      </c>
      <c r="E733" s="18">
        <v>45475</v>
      </c>
      <c r="F733" t="str">
        <f>"202406016"</f>
        <v>202406016</v>
      </c>
      <c r="G733" t="s">
        <v>247</v>
      </c>
      <c r="H733" t="s">
        <v>1402</v>
      </c>
      <c r="L733" s="35">
        <v>80000</v>
      </c>
    </row>
    <row r="734" spans="1:12" x14ac:dyDescent="0.25">
      <c r="A734">
        <v>0</v>
      </c>
      <c r="B734" t="s">
        <v>244</v>
      </c>
      <c r="C734" s="18">
        <v>45658</v>
      </c>
      <c r="D734" t="str">
        <f>"8431"</f>
        <v>8431</v>
      </c>
      <c r="E734" s="18">
        <v>45475</v>
      </c>
      <c r="F734" t="s">
        <v>1403</v>
      </c>
      <c r="G734" t="s">
        <v>247</v>
      </c>
      <c r="H734" t="s">
        <v>1404</v>
      </c>
      <c r="L734" s="35">
        <v>12000</v>
      </c>
    </row>
    <row r="735" spans="1:12" x14ac:dyDescent="0.25">
      <c r="A735">
        <v>0</v>
      </c>
      <c r="B735" t="s">
        <v>244</v>
      </c>
      <c r="C735" s="18">
        <v>45658</v>
      </c>
      <c r="D735" t="str">
        <f>"8432"</f>
        <v>8432</v>
      </c>
      <c r="E735" s="18">
        <v>45475</v>
      </c>
      <c r="F735" t="s">
        <v>1405</v>
      </c>
      <c r="G735" t="s">
        <v>247</v>
      </c>
      <c r="H735" t="s">
        <v>1406</v>
      </c>
      <c r="L735" s="35">
        <v>76800</v>
      </c>
    </row>
    <row r="736" spans="1:12" x14ac:dyDescent="0.25">
      <c r="A736">
        <v>0</v>
      </c>
      <c r="B736" t="s">
        <v>244</v>
      </c>
      <c r="C736" s="18">
        <v>45658</v>
      </c>
      <c r="D736" t="str">
        <f>"8433"</f>
        <v>8433</v>
      </c>
      <c r="E736" s="18">
        <v>45475</v>
      </c>
      <c r="F736" t="str">
        <f>"339576"</f>
        <v>339576</v>
      </c>
      <c r="G736" t="s">
        <v>247</v>
      </c>
      <c r="H736" t="s">
        <v>1407</v>
      </c>
      <c r="L736" s="35">
        <v>1328000</v>
      </c>
    </row>
    <row r="737" spans="1:12" x14ac:dyDescent="0.25">
      <c r="A737">
        <v>0</v>
      </c>
      <c r="B737" t="s">
        <v>244</v>
      </c>
      <c r="C737" s="18">
        <v>45658</v>
      </c>
      <c r="D737" t="str">
        <f>"8434"</f>
        <v>8434</v>
      </c>
      <c r="E737" s="18">
        <v>45475</v>
      </c>
      <c r="F737" t="s">
        <v>1408</v>
      </c>
      <c r="G737" t="s">
        <v>247</v>
      </c>
      <c r="H737" t="s">
        <v>1409</v>
      </c>
      <c r="L737" s="35">
        <v>48480</v>
      </c>
    </row>
    <row r="738" spans="1:12" x14ac:dyDescent="0.25">
      <c r="A738">
        <v>0</v>
      </c>
      <c r="B738" t="s">
        <v>244</v>
      </c>
      <c r="C738" s="18">
        <v>45658</v>
      </c>
      <c r="D738" t="str">
        <f>"8435"</f>
        <v>8435</v>
      </c>
      <c r="E738" s="18">
        <v>45476</v>
      </c>
      <c r="F738" t="s">
        <v>1410</v>
      </c>
      <c r="G738" t="s">
        <v>247</v>
      </c>
      <c r="H738" t="s">
        <v>1411</v>
      </c>
      <c r="L738" s="35">
        <v>558240</v>
      </c>
    </row>
    <row r="739" spans="1:12" x14ac:dyDescent="0.25">
      <c r="A739">
        <v>0</v>
      </c>
      <c r="B739" t="s">
        <v>244</v>
      </c>
      <c r="C739" s="18">
        <v>45658</v>
      </c>
      <c r="D739" t="str">
        <f>"8436"</f>
        <v>8436</v>
      </c>
      <c r="E739" s="18">
        <v>45476</v>
      </c>
      <c r="F739" t="s">
        <v>1412</v>
      </c>
      <c r="G739" t="s">
        <v>247</v>
      </c>
      <c r="H739" t="s">
        <v>1413</v>
      </c>
      <c r="L739" s="35">
        <v>108000</v>
      </c>
    </row>
    <row r="740" spans="1:12" x14ac:dyDescent="0.25">
      <c r="A740">
        <v>0</v>
      </c>
      <c r="B740" t="s">
        <v>244</v>
      </c>
      <c r="C740" s="18">
        <v>45658</v>
      </c>
      <c r="D740" t="str">
        <f>"8437"</f>
        <v>8437</v>
      </c>
      <c r="E740" s="18">
        <v>45476</v>
      </c>
      <c r="F740" t="s">
        <v>1414</v>
      </c>
      <c r="G740" t="s">
        <v>247</v>
      </c>
      <c r="H740" t="s">
        <v>1415</v>
      </c>
      <c r="L740" s="35">
        <v>160000</v>
      </c>
    </row>
    <row r="741" spans="1:12" x14ac:dyDescent="0.25">
      <c r="A741">
        <v>0</v>
      </c>
      <c r="B741" t="s">
        <v>244</v>
      </c>
      <c r="C741" s="18">
        <v>45658</v>
      </c>
      <c r="D741" t="str">
        <f>"8438"</f>
        <v>8438</v>
      </c>
      <c r="E741" s="18">
        <v>45477</v>
      </c>
      <c r="F741" s="33">
        <v>45434</v>
      </c>
      <c r="G741" t="s">
        <v>247</v>
      </c>
      <c r="H741" t="s">
        <v>1416</v>
      </c>
      <c r="L741" s="35">
        <v>933760</v>
      </c>
    </row>
    <row r="742" spans="1:12" x14ac:dyDescent="0.25">
      <c r="A742">
        <v>0</v>
      </c>
      <c r="B742" t="s">
        <v>244</v>
      </c>
      <c r="C742" s="18">
        <v>45658</v>
      </c>
      <c r="D742" t="str">
        <f>"8439"</f>
        <v>8439</v>
      </c>
      <c r="E742" s="18">
        <v>45477</v>
      </c>
      <c r="F742" t="s">
        <v>1417</v>
      </c>
      <c r="G742" t="s">
        <v>247</v>
      </c>
      <c r="H742" t="s">
        <v>1418</v>
      </c>
      <c r="L742" s="35">
        <v>28000</v>
      </c>
    </row>
    <row r="743" spans="1:12" x14ac:dyDescent="0.25">
      <c r="A743">
        <v>0</v>
      </c>
      <c r="B743" t="s">
        <v>244</v>
      </c>
      <c r="C743" s="18">
        <v>45658</v>
      </c>
      <c r="D743" t="str">
        <f>"8440"</f>
        <v>8440</v>
      </c>
      <c r="E743" s="18">
        <v>45478</v>
      </c>
      <c r="F743" t="s">
        <v>1419</v>
      </c>
      <c r="G743" t="s">
        <v>247</v>
      </c>
      <c r="H743" t="s">
        <v>1420</v>
      </c>
      <c r="L743" s="35">
        <v>30240</v>
      </c>
    </row>
    <row r="744" spans="1:12" x14ac:dyDescent="0.25">
      <c r="A744">
        <v>0</v>
      </c>
      <c r="B744" t="s">
        <v>244</v>
      </c>
      <c r="C744" s="18">
        <v>45658</v>
      </c>
      <c r="D744" t="str">
        <f>"8441"</f>
        <v>8441</v>
      </c>
      <c r="E744" s="18">
        <v>45481</v>
      </c>
      <c r="F744" t="s">
        <v>1421</v>
      </c>
      <c r="G744" t="s">
        <v>247</v>
      </c>
      <c r="H744" t="s">
        <v>1422</v>
      </c>
      <c r="L744" s="35">
        <v>186560</v>
      </c>
    </row>
    <row r="745" spans="1:12" x14ac:dyDescent="0.25">
      <c r="A745">
        <v>0</v>
      </c>
      <c r="B745" t="s">
        <v>244</v>
      </c>
      <c r="C745" s="18">
        <v>45658</v>
      </c>
      <c r="D745" t="str">
        <f>"8442"</f>
        <v>8442</v>
      </c>
      <c r="E745" s="18">
        <v>45481</v>
      </c>
      <c r="F745" t="str">
        <f>"2647"</f>
        <v>2647</v>
      </c>
      <c r="G745" t="s">
        <v>247</v>
      </c>
      <c r="H745" t="s">
        <v>1423</v>
      </c>
      <c r="L745" s="35">
        <v>933760</v>
      </c>
    </row>
    <row r="746" spans="1:12" x14ac:dyDescent="0.25">
      <c r="A746">
        <v>0</v>
      </c>
      <c r="B746" t="s">
        <v>244</v>
      </c>
      <c r="C746" s="18">
        <v>45658</v>
      </c>
      <c r="D746" t="str">
        <f>"8443"</f>
        <v>8443</v>
      </c>
      <c r="E746" s="18">
        <v>45483</v>
      </c>
      <c r="F746" t="s">
        <v>1424</v>
      </c>
      <c r="G746" t="s">
        <v>247</v>
      </c>
      <c r="H746" t="s">
        <v>1425</v>
      </c>
      <c r="L746" s="35">
        <v>575840</v>
      </c>
    </row>
    <row r="747" spans="1:12" x14ac:dyDescent="0.25">
      <c r="A747">
        <v>0</v>
      </c>
      <c r="B747" t="s">
        <v>244</v>
      </c>
      <c r="C747" s="18">
        <v>45658</v>
      </c>
      <c r="D747" t="str">
        <f>"8444"</f>
        <v>8444</v>
      </c>
      <c r="E747" s="18">
        <v>45483</v>
      </c>
      <c r="F747" t="s">
        <v>1426</v>
      </c>
      <c r="G747" t="s">
        <v>247</v>
      </c>
      <c r="H747" t="s">
        <v>1427</v>
      </c>
      <c r="L747" s="35">
        <v>453840</v>
      </c>
    </row>
    <row r="748" spans="1:12" x14ac:dyDescent="0.25">
      <c r="A748">
        <v>0</v>
      </c>
      <c r="B748" t="s">
        <v>244</v>
      </c>
      <c r="C748" s="18">
        <v>45658</v>
      </c>
      <c r="D748" t="str">
        <f>"8445"</f>
        <v>8445</v>
      </c>
      <c r="E748" s="18">
        <v>45483</v>
      </c>
      <c r="F748" t="s">
        <v>1428</v>
      </c>
      <c r="G748" t="s">
        <v>247</v>
      </c>
      <c r="H748" t="s">
        <v>1429</v>
      </c>
      <c r="L748" s="35">
        <v>56080</v>
      </c>
    </row>
    <row r="749" spans="1:12" x14ac:dyDescent="0.25">
      <c r="A749">
        <v>0</v>
      </c>
      <c r="B749" t="s">
        <v>244</v>
      </c>
      <c r="C749" s="18">
        <v>45658</v>
      </c>
      <c r="D749" t="str">
        <f>"8446"</f>
        <v>8446</v>
      </c>
      <c r="E749" s="18">
        <v>45483</v>
      </c>
      <c r="F749" t="s">
        <v>1430</v>
      </c>
      <c r="G749" t="s">
        <v>247</v>
      </c>
      <c r="H749" t="s">
        <v>1431</v>
      </c>
      <c r="L749" s="35">
        <v>118320</v>
      </c>
    </row>
    <row r="750" spans="1:12" x14ac:dyDescent="0.25">
      <c r="A750">
        <v>0</v>
      </c>
      <c r="B750" t="s">
        <v>244</v>
      </c>
      <c r="C750" s="18">
        <v>45658</v>
      </c>
      <c r="D750" t="str">
        <f>"8447"</f>
        <v>8447</v>
      </c>
      <c r="E750" s="18">
        <v>45486</v>
      </c>
      <c r="F750" t="str">
        <f>"18606"</f>
        <v>18606</v>
      </c>
      <c r="G750" t="s">
        <v>247</v>
      </c>
      <c r="H750" t="s">
        <v>1432</v>
      </c>
      <c r="L750" s="35">
        <v>171680</v>
      </c>
    </row>
    <row r="751" spans="1:12" x14ac:dyDescent="0.25">
      <c r="A751">
        <v>0</v>
      </c>
      <c r="B751" t="s">
        <v>244</v>
      </c>
      <c r="C751" s="18">
        <v>45658</v>
      </c>
      <c r="D751" t="str">
        <f>"8448"</f>
        <v>8448</v>
      </c>
      <c r="E751" s="18">
        <v>45492</v>
      </c>
      <c r="F751" t="str">
        <f>"18638"</f>
        <v>18638</v>
      </c>
      <c r="G751" t="s">
        <v>247</v>
      </c>
      <c r="H751" t="s">
        <v>1433</v>
      </c>
      <c r="L751" s="35">
        <v>1160000</v>
      </c>
    </row>
    <row r="752" spans="1:12" x14ac:dyDescent="0.25">
      <c r="A752">
        <v>0</v>
      </c>
      <c r="B752" t="s">
        <v>244</v>
      </c>
      <c r="C752" s="18">
        <v>45658</v>
      </c>
      <c r="D752" t="str">
        <f>"8449"</f>
        <v>8449</v>
      </c>
      <c r="E752" s="18">
        <v>45492</v>
      </c>
      <c r="F752" t="str">
        <f>"18678"</f>
        <v>18678</v>
      </c>
      <c r="G752" t="s">
        <v>247</v>
      </c>
      <c r="H752" t="s">
        <v>1434</v>
      </c>
      <c r="L752" s="35">
        <v>96000</v>
      </c>
    </row>
    <row r="753" spans="1:12" x14ac:dyDescent="0.25">
      <c r="A753">
        <v>0</v>
      </c>
      <c r="B753" t="s">
        <v>244</v>
      </c>
      <c r="C753" s="18">
        <v>45658</v>
      </c>
      <c r="D753" t="str">
        <f>"8450"</f>
        <v>8450</v>
      </c>
      <c r="E753" s="18">
        <v>45497</v>
      </c>
      <c r="G753" t="s">
        <v>247</v>
      </c>
      <c r="H753" t="s">
        <v>1435</v>
      </c>
      <c r="L753" s="35">
        <v>2232445.3199999998</v>
      </c>
    </row>
    <row r="754" spans="1:12" x14ac:dyDescent="0.25">
      <c r="A754">
        <v>0</v>
      </c>
      <c r="B754" t="s">
        <v>244</v>
      </c>
      <c r="C754" s="18">
        <v>45658</v>
      </c>
      <c r="D754" t="str">
        <f>"8451"</f>
        <v>8451</v>
      </c>
      <c r="E754" t="str">
        <f>"00013076"</f>
        <v>00013076</v>
      </c>
      <c r="G754" t="s">
        <v>247</v>
      </c>
      <c r="H754" t="s">
        <v>1436</v>
      </c>
      <c r="L754" s="35">
        <v>19120446.960000001</v>
      </c>
    </row>
    <row r="755" spans="1:12" x14ac:dyDescent="0.25">
      <c r="A755">
        <v>0</v>
      </c>
      <c r="B755" t="s">
        <v>244</v>
      </c>
      <c r="C755" s="18">
        <v>45658</v>
      </c>
      <c r="D755" t="str">
        <f>"8452"</f>
        <v>8452</v>
      </c>
      <c r="E755" s="18">
        <v>45498</v>
      </c>
      <c r="G755" t="s">
        <v>247</v>
      </c>
      <c r="H755" t="s">
        <v>1437</v>
      </c>
      <c r="L755" s="35">
        <v>4873098.05</v>
      </c>
    </row>
    <row r="756" spans="1:12" x14ac:dyDescent="0.25">
      <c r="A756">
        <v>0</v>
      </c>
      <c r="B756" t="s">
        <v>244</v>
      </c>
      <c r="C756" s="18">
        <v>45658</v>
      </c>
      <c r="D756" t="str">
        <f>"8453"</f>
        <v>8453</v>
      </c>
      <c r="E756" s="18">
        <v>45505</v>
      </c>
      <c r="F756" t="s">
        <v>1438</v>
      </c>
      <c r="G756" t="s">
        <v>247</v>
      </c>
      <c r="H756" t="s">
        <v>1439</v>
      </c>
      <c r="L756" s="35">
        <v>360480</v>
      </c>
    </row>
    <row r="757" spans="1:12" x14ac:dyDescent="0.25">
      <c r="A757">
        <v>0</v>
      </c>
      <c r="B757" t="s">
        <v>244</v>
      </c>
      <c r="C757" s="18">
        <v>45658</v>
      </c>
      <c r="D757" t="str">
        <f>"8454"</f>
        <v>8454</v>
      </c>
      <c r="E757" s="18">
        <v>45505</v>
      </c>
      <c r="F757" t="str">
        <f>"249190"</f>
        <v>249190</v>
      </c>
      <c r="G757" t="s">
        <v>247</v>
      </c>
      <c r="H757" t="s">
        <v>1440</v>
      </c>
      <c r="L757" s="35">
        <v>128480</v>
      </c>
    </row>
    <row r="758" spans="1:12" x14ac:dyDescent="0.25">
      <c r="A758">
        <v>0</v>
      </c>
      <c r="B758" t="s">
        <v>244</v>
      </c>
      <c r="C758" s="18">
        <v>45658</v>
      </c>
      <c r="D758" t="str">
        <f>"8455"</f>
        <v>8455</v>
      </c>
      <c r="E758" s="18">
        <v>45505</v>
      </c>
      <c r="F758" t="s">
        <v>1441</v>
      </c>
      <c r="G758" t="s">
        <v>247</v>
      </c>
      <c r="H758" t="s">
        <v>1442</v>
      </c>
      <c r="L758" s="35">
        <v>38800</v>
      </c>
    </row>
    <row r="759" spans="1:12" x14ac:dyDescent="0.25">
      <c r="A759">
        <v>0</v>
      </c>
      <c r="B759" t="s">
        <v>244</v>
      </c>
      <c r="C759" s="18">
        <v>45658</v>
      </c>
      <c r="D759" t="str">
        <f>"8456"</f>
        <v>8456</v>
      </c>
      <c r="E759" s="18">
        <v>45505</v>
      </c>
      <c r="F759" t="str">
        <f>"18744"</f>
        <v>18744</v>
      </c>
      <c r="G759" t="s">
        <v>247</v>
      </c>
      <c r="H759" t="s">
        <v>1443</v>
      </c>
      <c r="L759" s="35">
        <v>160000</v>
      </c>
    </row>
    <row r="760" spans="1:12" x14ac:dyDescent="0.25">
      <c r="A760">
        <v>0</v>
      </c>
      <c r="B760" t="s">
        <v>244</v>
      </c>
      <c r="C760" s="18">
        <v>45658</v>
      </c>
      <c r="D760" t="str">
        <f>"8457"</f>
        <v>8457</v>
      </c>
      <c r="E760" s="18">
        <v>45506</v>
      </c>
      <c r="F760" t="s">
        <v>1444</v>
      </c>
      <c r="G760" t="s">
        <v>247</v>
      </c>
      <c r="H760" t="s">
        <v>1445</v>
      </c>
      <c r="L760" s="35">
        <v>322400</v>
      </c>
    </row>
    <row r="761" spans="1:12" x14ac:dyDescent="0.25">
      <c r="A761">
        <v>0</v>
      </c>
      <c r="B761" t="s">
        <v>244</v>
      </c>
      <c r="C761" s="18">
        <v>45658</v>
      </c>
      <c r="D761" t="str">
        <f>"8458"</f>
        <v>8458</v>
      </c>
      <c r="E761" s="18">
        <v>45506</v>
      </c>
      <c r="F761" t="str">
        <f>"18844"</f>
        <v>18844</v>
      </c>
      <c r="G761" t="s">
        <v>247</v>
      </c>
      <c r="H761" t="s">
        <v>1446</v>
      </c>
      <c r="L761" s="35">
        <v>80000</v>
      </c>
    </row>
    <row r="762" spans="1:12" x14ac:dyDescent="0.25">
      <c r="A762">
        <v>0</v>
      </c>
      <c r="B762" t="s">
        <v>244</v>
      </c>
      <c r="C762" s="18">
        <v>45658</v>
      </c>
      <c r="D762" t="str">
        <f>"8459"</f>
        <v>8459</v>
      </c>
      <c r="E762" s="18">
        <v>45506</v>
      </c>
      <c r="F762" t="s">
        <v>1447</v>
      </c>
      <c r="G762" t="s">
        <v>247</v>
      </c>
      <c r="H762" t="s">
        <v>1448</v>
      </c>
      <c r="L762" s="35">
        <v>30880</v>
      </c>
    </row>
    <row r="763" spans="1:12" x14ac:dyDescent="0.25">
      <c r="A763">
        <v>0</v>
      </c>
      <c r="B763" t="s">
        <v>244</v>
      </c>
      <c r="C763" s="18">
        <v>45658</v>
      </c>
      <c r="D763" t="str">
        <f>"8460"</f>
        <v>8460</v>
      </c>
      <c r="E763" s="18">
        <v>45506</v>
      </c>
      <c r="F763" t="s">
        <v>1449</v>
      </c>
      <c r="G763" t="s">
        <v>247</v>
      </c>
      <c r="H763" t="s">
        <v>1450</v>
      </c>
      <c r="L763" s="35">
        <v>72960</v>
      </c>
    </row>
    <row r="764" spans="1:12" x14ac:dyDescent="0.25">
      <c r="A764">
        <v>0</v>
      </c>
      <c r="B764" t="s">
        <v>244</v>
      </c>
      <c r="C764" s="18">
        <v>45658</v>
      </c>
      <c r="D764" t="str">
        <f>"8461"</f>
        <v>8461</v>
      </c>
      <c r="E764" s="18">
        <v>45506</v>
      </c>
      <c r="F764" t="s">
        <v>1451</v>
      </c>
      <c r="G764" t="s">
        <v>247</v>
      </c>
      <c r="H764" t="s">
        <v>1452</v>
      </c>
      <c r="L764" s="35">
        <v>160000</v>
      </c>
    </row>
    <row r="765" spans="1:12" x14ac:dyDescent="0.25">
      <c r="A765">
        <v>0</v>
      </c>
      <c r="B765" t="s">
        <v>244</v>
      </c>
      <c r="C765" s="18">
        <v>45658</v>
      </c>
      <c r="D765" t="str">
        <f>"8462"</f>
        <v>8462</v>
      </c>
      <c r="E765" s="18">
        <v>45506</v>
      </c>
      <c r="F765" t="s">
        <v>1453</v>
      </c>
      <c r="G765" t="s">
        <v>247</v>
      </c>
      <c r="H765" t="s">
        <v>1454</v>
      </c>
      <c r="L765" s="35">
        <v>55600</v>
      </c>
    </row>
    <row r="766" spans="1:12" x14ac:dyDescent="0.25">
      <c r="A766">
        <v>0</v>
      </c>
      <c r="B766" t="s">
        <v>244</v>
      </c>
      <c r="C766" s="18">
        <v>45658</v>
      </c>
      <c r="D766" t="str">
        <f>"8463"</f>
        <v>8463</v>
      </c>
      <c r="E766" s="18">
        <v>45509</v>
      </c>
      <c r="F766" t="str">
        <f>"00416"</f>
        <v>00416</v>
      </c>
      <c r="G766" t="s">
        <v>247</v>
      </c>
      <c r="H766" t="s">
        <v>1455</v>
      </c>
      <c r="L766" s="35">
        <v>1021000</v>
      </c>
    </row>
    <row r="767" spans="1:12" x14ac:dyDescent="0.25">
      <c r="A767">
        <v>0</v>
      </c>
      <c r="B767" t="s">
        <v>244</v>
      </c>
      <c r="C767" s="18">
        <v>45658</v>
      </c>
      <c r="D767" t="str">
        <f>"8464"</f>
        <v>8464</v>
      </c>
      <c r="E767" s="18">
        <v>45509</v>
      </c>
      <c r="F767" t="s">
        <v>987</v>
      </c>
      <c r="G767" t="s">
        <v>247</v>
      </c>
      <c r="H767" t="s">
        <v>1456</v>
      </c>
      <c r="L767" s="35">
        <v>83600</v>
      </c>
    </row>
    <row r="768" spans="1:12" x14ac:dyDescent="0.25">
      <c r="A768">
        <v>0</v>
      </c>
      <c r="B768" t="s">
        <v>244</v>
      </c>
      <c r="C768" s="18">
        <v>45658</v>
      </c>
      <c r="D768" t="str">
        <f>"8465"</f>
        <v>8465</v>
      </c>
      <c r="E768" s="18">
        <v>45509</v>
      </c>
      <c r="F768" t="s">
        <v>1457</v>
      </c>
      <c r="G768" t="s">
        <v>247</v>
      </c>
      <c r="H768" t="s">
        <v>1458</v>
      </c>
      <c r="L768" s="35">
        <v>28000</v>
      </c>
    </row>
    <row r="769" spans="1:12" x14ac:dyDescent="0.25">
      <c r="A769">
        <v>0</v>
      </c>
      <c r="B769" t="s">
        <v>244</v>
      </c>
      <c r="C769" s="18">
        <v>45658</v>
      </c>
      <c r="D769" t="str">
        <f>"8466"</f>
        <v>8466</v>
      </c>
      <c r="E769" s="18">
        <v>45510</v>
      </c>
      <c r="F769" t="s">
        <v>1459</v>
      </c>
      <c r="G769" t="s">
        <v>247</v>
      </c>
      <c r="H769" t="s">
        <v>1460</v>
      </c>
      <c r="L769" s="35">
        <v>99120</v>
      </c>
    </row>
    <row r="770" spans="1:12" x14ac:dyDescent="0.25">
      <c r="A770">
        <v>0</v>
      </c>
      <c r="B770" t="s">
        <v>244</v>
      </c>
      <c r="C770" s="18">
        <v>45658</v>
      </c>
      <c r="D770" t="str">
        <f>"8467"</f>
        <v>8467</v>
      </c>
      <c r="E770" s="18">
        <v>45510</v>
      </c>
      <c r="F770" t="str">
        <f>"105"</f>
        <v>105</v>
      </c>
      <c r="G770" t="s">
        <v>247</v>
      </c>
      <c r="H770" t="s">
        <v>1461</v>
      </c>
      <c r="L770" s="35">
        <v>3206900</v>
      </c>
    </row>
    <row r="771" spans="1:12" x14ac:dyDescent="0.25">
      <c r="A771">
        <v>0</v>
      </c>
      <c r="B771" t="s">
        <v>244</v>
      </c>
      <c r="C771" s="18">
        <v>45658</v>
      </c>
      <c r="D771" t="str">
        <f>"8468"</f>
        <v>8468</v>
      </c>
      <c r="E771" s="18">
        <v>45510</v>
      </c>
      <c r="F771" t="s">
        <v>1462</v>
      </c>
      <c r="G771" t="s">
        <v>247</v>
      </c>
      <c r="H771" t="s">
        <v>1463</v>
      </c>
      <c r="L771" s="35">
        <v>996000</v>
      </c>
    </row>
    <row r="772" spans="1:12" x14ac:dyDescent="0.25">
      <c r="A772">
        <v>0</v>
      </c>
      <c r="B772" t="s">
        <v>244</v>
      </c>
      <c r="C772" s="18">
        <v>45658</v>
      </c>
      <c r="D772" t="str">
        <f>"8469"</f>
        <v>8469</v>
      </c>
      <c r="E772" s="18">
        <v>45511</v>
      </c>
      <c r="F772" t="str">
        <f>"240763"</f>
        <v>240763</v>
      </c>
      <c r="G772" t="s">
        <v>247</v>
      </c>
      <c r="H772" t="s">
        <v>1464</v>
      </c>
      <c r="L772" s="35">
        <v>28240</v>
      </c>
    </row>
    <row r="773" spans="1:12" x14ac:dyDescent="0.25">
      <c r="A773">
        <v>0</v>
      </c>
      <c r="B773" t="s">
        <v>244</v>
      </c>
      <c r="C773" s="18">
        <v>45658</v>
      </c>
      <c r="D773" t="str">
        <f>"8470"</f>
        <v>8470</v>
      </c>
      <c r="E773" s="18">
        <v>45511</v>
      </c>
      <c r="F773" t="s">
        <v>1465</v>
      </c>
      <c r="G773" t="s">
        <v>247</v>
      </c>
      <c r="H773" t="s">
        <v>1466</v>
      </c>
      <c r="L773" s="35">
        <v>62880</v>
      </c>
    </row>
    <row r="774" spans="1:12" x14ac:dyDescent="0.25">
      <c r="A774">
        <v>0</v>
      </c>
      <c r="B774" t="s">
        <v>244</v>
      </c>
      <c r="C774" s="18">
        <v>45658</v>
      </c>
      <c r="D774" t="str">
        <f>"8471"</f>
        <v>8471</v>
      </c>
      <c r="E774" s="18">
        <v>45511</v>
      </c>
      <c r="F774" t="str">
        <f>"339519"</f>
        <v>339519</v>
      </c>
      <c r="G774" t="s">
        <v>247</v>
      </c>
      <c r="H774" t="s">
        <v>1467</v>
      </c>
      <c r="L774" s="35">
        <v>1403200</v>
      </c>
    </row>
    <row r="775" spans="1:12" x14ac:dyDescent="0.25">
      <c r="A775">
        <v>0</v>
      </c>
      <c r="B775" t="s">
        <v>244</v>
      </c>
      <c r="C775" s="18">
        <v>45658</v>
      </c>
      <c r="D775" t="str">
        <f>"8472"</f>
        <v>8472</v>
      </c>
      <c r="E775" s="18">
        <v>45511</v>
      </c>
      <c r="F775" t="s">
        <v>1468</v>
      </c>
      <c r="G775" t="s">
        <v>247</v>
      </c>
      <c r="H775" t="s">
        <v>1469</v>
      </c>
      <c r="L775" s="35">
        <v>66720</v>
      </c>
    </row>
    <row r="776" spans="1:12" x14ac:dyDescent="0.25">
      <c r="A776">
        <v>0</v>
      </c>
      <c r="B776" t="s">
        <v>244</v>
      </c>
      <c r="C776" s="18">
        <v>45658</v>
      </c>
      <c r="D776" t="str">
        <f>"8473"</f>
        <v>8473</v>
      </c>
      <c r="E776" s="18">
        <v>45511</v>
      </c>
      <c r="F776" t="str">
        <f>"240924"</f>
        <v>240924</v>
      </c>
      <c r="G776" t="s">
        <v>247</v>
      </c>
      <c r="H776" t="s">
        <v>1470</v>
      </c>
      <c r="L776" s="35">
        <v>36000</v>
      </c>
    </row>
    <row r="777" spans="1:12" x14ac:dyDescent="0.25">
      <c r="A777">
        <v>0</v>
      </c>
      <c r="B777" t="s">
        <v>244</v>
      </c>
      <c r="C777" s="18">
        <v>45658</v>
      </c>
      <c r="D777" t="str">
        <f>"8474"</f>
        <v>8474</v>
      </c>
      <c r="E777" s="18">
        <v>45513</v>
      </c>
      <c r="F777" t="str">
        <f>"248426"</f>
        <v>248426</v>
      </c>
      <c r="G777" t="s">
        <v>247</v>
      </c>
      <c r="H777" t="s">
        <v>1471</v>
      </c>
      <c r="L777" s="35">
        <v>142560</v>
      </c>
    </row>
    <row r="778" spans="1:12" x14ac:dyDescent="0.25">
      <c r="A778">
        <v>0</v>
      </c>
      <c r="B778" t="s">
        <v>244</v>
      </c>
      <c r="C778" s="18">
        <v>45658</v>
      </c>
      <c r="D778" t="str">
        <f>"8475"</f>
        <v>8475</v>
      </c>
      <c r="E778" s="18">
        <v>45513</v>
      </c>
      <c r="F778" t="s">
        <v>1472</v>
      </c>
      <c r="G778" t="s">
        <v>247</v>
      </c>
      <c r="H778" t="s">
        <v>1473</v>
      </c>
      <c r="L778" s="35">
        <v>96480</v>
      </c>
    </row>
    <row r="779" spans="1:12" x14ac:dyDescent="0.25">
      <c r="A779">
        <v>0</v>
      </c>
      <c r="B779" t="s">
        <v>244</v>
      </c>
      <c r="C779" s="18">
        <v>45658</v>
      </c>
      <c r="D779" t="str">
        <f>"8476"</f>
        <v>8476</v>
      </c>
      <c r="E779" s="18">
        <v>45513</v>
      </c>
      <c r="F779" s="18">
        <v>45481</v>
      </c>
      <c r="G779" t="s">
        <v>247</v>
      </c>
      <c r="H779" t="s">
        <v>1474</v>
      </c>
      <c r="L779" s="35">
        <v>36640</v>
      </c>
    </row>
    <row r="780" spans="1:12" x14ac:dyDescent="0.25">
      <c r="A780">
        <v>0</v>
      </c>
      <c r="B780" t="s">
        <v>244</v>
      </c>
      <c r="C780" s="18">
        <v>45658</v>
      </c>
      <c r="D780" t="str">
        <f>"8477"</f>
        <v>8477</v>
      </c>
      <c r="E780" s="18">
        <v>45513</v>
      </c>
      <c r="F780" t="s">
        <v>1475</v>
      </c>
      <c r="G780" t="s">
        <v>247</v>
      </c>
      <c r="H780" t="s">
        <v>1476</v>
      </c>
      <c r="L780" s="35">
        <v>65440</v>
      </c>
    </row>
    <row r="781" spans="1:12" x14ac:dyDescent="0.25">
      <c r="A781">
        <v>0</v>
      </c>
      <c r="B781" t="s">
        <v>244</v>
      </c>
      <c r="C781" s="18">
        <v>45658</v>
      </c>
      <c r="D781" t="str">
        <f>"8478"</f>
        <v>8478</v>
      </c>
      <c r="E781" s="18">
        <v>45513</v>
      </c>
      <c r="F781" t="s">
        <v>1477</v>
      </c>
      <c r="G781" t="s">
        <v>247</v>
      </c>
      <c r="H781" t="s">
        <v>1478</v>
      </c>
      <c r="L781" s="35">
        <v>114400</v>
      </c>
    </row>
    <row r="782" spans="1:12" x14ac:dyDescent="0.25">
      <c r="A782">
        <v>0</v>
      </c>
      <c r="B782" t="s">
        <v>244</v>
      </c>
      <c r="C782" s="18">
        <v>45658</v>
      </c>
      <c r="D782" t="str">
        <f>"8479"</f>
        <v>8479</v>
      </c>
      <c r="E782" s="18">
        <v>45514</v>
      </c>
      <c r="F782" t="str">
        <f>"18979"</f>
        <v>18979</v>
      </c>
      <c r="G782" t="s">
        <v>247</v>
      </c>
      <c r="H782" t="s">
        <v>1479</v>
      </c>
      <c r="L782" s="35">
        <v>305600</v>
      </c>
    </row>
    <row r="783" spans="1:12" x14ac:dyDescent="0.25">
      <c r="A783">
        <v>0</v>
      </c>
      <c r="B783" t="s">
        <v>244</v>
      </c>
      <c r="C783" s="18">
        <v>45658</v>
      </c>
      <c r="D783" t="str">
        <f>"8480"</f>
        <v>8480</v>
      </c>
      <c r="E783" s="18">
        <v>45518</v>
      </c>
      <c r="F783" t="str">
        <f>"386"</f>
        <v>386</v>
      </c>
      <c r="G783" t="s">
        <v>247</v>
      </c>
      <c r="H783" t="s">
        <v>1480</v>
      </c>
      <c r="L783" s="35">
        <v>330000</v>
      </c>
    </row>
    <row r="784" spans="1:12" x14ac:dyDescent="0.25">
      <c r="A784">
        <v>0</v>
      </c>
      <c r="B784" t="s">
        <v>244</v>
      </c>
      <c r="C784" s="18">
        <v>45658</v>
      </c>
      <c r="D784" t="str">
        <f>"8481"</f>
        <v>8481</v>
      </c>
      <c r="E784" s="18">
        <v>45520</v>
      </c>
      <c r="F784" t="s">
        <v>1481</v>
      </c>
      <c r="G784" t="s">
        <v>247</v>
      </c>
      <c r="H784" t="s">
        <v>1482</v>
      </c>
      <c r="L784" s="35">
        <v>28000</v>
      </c>
    </row>
    <row r="785" spans="1:12" x14ac:dyDescent="0.25">
      <c r="A785">
        <v>0</v>
      </c>
      <c r="B785" t="s">
        <v>244</v>
      </c>
      <c r="C785" s="18">
        <v>45658</v>
      </c>
      <c r="D785" t="str">
        <f>"8482"</f>
        <v>8482</v>
      </c>
      <c r="E785" s="18">
        <v>45525</v>
      </c>
      <c r="F785" t="str">
        <f>"387"</f>
        <v>387</v>
      </c>
      <c r="G785" t="s">
        <v>247</v>
      </c>
      <c r="H785" t="s">
        <v>1483</v>
      </c>
      <c r="L785" s="35">
        <v>96800</v>
      </c>
    </row>
    <row r="786" spans="1:12" x14ac:dyDescent="0.25">
      <c r="A786">
        <v>0</v>
      </c>
      <c r="B786" t="s">
        <v>244</v>
      </c>
      <c r="C786" s="18">
        <v>45658</v>
      </c>
      <c r="D786" t="str">
        <f>"8483"</f>
        <v>8483</v>
      </c>
      <c r="E786" s="18">
        <v>45537</v>
      </c>
      <c r="F786" t="s">
        <v>1484</v>
      </c>
      <c r="G786" t="s">
        <v>247</v>
      </c>
      <c r="H786" t="s">
        <v>1485</v>
      </c>
      <c r="L786" s="35">
        <v>777680</v>
      </c>
    </row>
    <row r="787" spans="1:12" x14ac:dyDescent="0.25">
      <c r="A787">
        <v>0</v>
      </c>
      <c r="B787" t="s">
        <v>244</v>
      </c>
      <c r="C787" s="18">
        <v>45658</v>
      </c>
      <c r="D787" t="str">
        <f>"8484"</f>
        <v>8484</v>
      </c>
      <c r="E787" s="18">
        <v>45537</v>
      </c>
      <c r="F787" t="s">
        <v>1486</v>
      </c>
      <c r="G787" t="s">
        <v>247</v>
      </c>
      <c r="H787" t="s">
        <v>1487</v>
      </c>
      <c r="L787" s="35">
        <v>90240</v>
      </c>
    </row>
    <row r="788" spans="1:12" x14ac:dyDescent="0.25">
      <c r="A788">
        <v>0</v>
      </c>
      <c r="B788" t="s">
        <v>244</v>
      </c>
      <c r="C788" s="18">
        <v>45658</v>
      </c>
      <c r="D788" t="str">
        <f>"8485"</f>
        <v>8485</v>
      </c>
      <c r="E788" s="18">
        <v>45537</v>
      </c>
      <c r="F788" t="s">
        <v>1488</v>
      </c>
      <c r="G788" t="s">
        <v>247</v>
      </c>
      <c r="H788" t="s">
        <v>1489</v>
      </c>
      <c r="L788" s="35">
        <v>6720</v>
      </c>
    </row>
    <row r="789" spans="1:12" x14ac:dyDescent="0.25">
      <c r="A789">
        <v>0</v>
      </c>
      <c r="B789" t="s">
        <v>244</v>
      </c>
      <c r="C789" s="18">
        <v>45658</v>
      </c>
      <c r="D789" t="str">
        <f>"8486"</f>
        <v>8486</v>
      </c>
      <c r="E789" s="18">
        <v>45537</v>
      </c>
      <c r="F789" t="s">
        <v>1490</v>
      </c>
      <c r="G789" t="s">
        <v>247</v>
      </c>
      <c r="H789" t="s">
        <v>1491</v>
      </c>
      <c r="L789" s="35">
        <v>72400</v>
      </c>
    </row>
    <row r="790" spans="1:12" x14ac:dyDescent="0.25">
      <c r="A790">
        <v>0</v>
      </c>
      <c r="B790" t="s">
        <v>244</v>
      </c>
      <c r="C790" s="18">
        <v>45658</v>
      </c>
      <c r="D790" t="str">
        <f>"8487"</f>
        <v>8487</v>
      </c>
      <c r="E790" s="18">
        <v>45537</v>
      </c>
      <c r="F790" t="s">
        <v>1492</v>
      </c>
      <c r="G790" t="s">
        <v>247</v>
      </c>
      <c r="H790" t="s">
        <v>1493</v>
      </c>
      <c r="L790" s="35">
        <v>32000</v>
      </c>
    </row>
    <row r="791" spans="1:12" x14ac:dyDescent="0.25">
      <c r="A791">
        <v>0</v>
      </c>
      <c r="B791" t="s">
        <v>244</v>
      </c>
      <c r="C791" s="18">
        <v>45658</v>
      </c>
      <c r="D791" t="str">
        <f>"8488"</f>
        <v>8488</v>
      </c>
      <c r="E791" s="18">
        <v>45538</v>
      </c>
      <c r="F791" t="str">
        <f>"19171"</f>
        <v>19171</v>
      </c>
      <c r="G791" t="s">
        <v>247</v>
      </c>
      <c r="H791" t="s">
        <v>1494</v>
      </c>
      <c r="L791" s="35">
        <v>46320</v>
      </c>
    </row>
    <row r="792" spans="1:12" x14ac:dyDescent="0.25">
      <c r="A792">
        <v>0</v>
      </c>
      <c r="B792" t="s">
        <v>244</v>
      </c>
      <c r="C792" s="18">
        <v>45658</v>
      </c>
      <c r="D792" t="str">
        <f>"8489"</f>
        <v>8489</v>
      </c>
      <c r="E792" s="18">
        <v>45538</v>
      </c>
      <c r="F792" t="s">
        <v>1495</v>
      </c>
      <c r="G792" t="s">
        <v>247</v>
      </c>
      <c r="H792" t="s">
        <v>1496</v>
      </c>
      <c r="L792" s="35">
        <v>154480</v>
      </c>
    </row>
    <row r="793" spans="1:12" x14ac:dyDescent="0.25">
      <c r="A793">
        <v>0</v>
      </c>
      <c r="B793" t="s">
        <v>244</v>
      </c>
      <c r="C793" s="18">
        <v>45658</v>
      </c>
      <c r="D793" t="str">
        <f>"8490"</f>
        <v>8490</v>
      </c>
      <c r="E793" s="18">
        <v>45538</v>
      </c>
      <c r="F793" t="str">
        <f>"249824"</f>
        <v>249824</v>
      </c>
      <c r="G793" t="s">
        <v>247</v>
      </c>
      <c r="H793" t="s">
        <v>1497</v>
      </c>
      <c r="L793" s="35">
        <v>169120</v>
      </c>
    </row>
    <row r="794" spans="1:12" x14ac:dyDescent="0.25">
      <c r="A794">
        <v>0</v>
      </c>
      <c r="B794" t="s">
        <v>244</v>
      </c>
      <c r="C794" s="18">
        <v>45658</v>
      </c>
      <c r="D794" t="str">
        <f>"8491"</f>
        <v>8491</v>
      </c>
      <c r="E794" s="18">
        <v>45538</v>
      </c>
      <c r="F794" t="str">
        <f>"3723"</f>
        <v>3723</v>
      </c>
      <c r="G794" t="s">
        <v>247</v>
      </c>
      <c r="H794" t="s">
        <v>1498</v>
      </c>
      <c r="L794" s="35">
        <v>87600</v>
      </c>
    </row>
    <row r="795" spans="1:12" x14ac:dyDescent="0.25">
      <c r="A795">
        <v>0</v>
      </c>
      <c r="B795" t="s">
        <v>244</v>
      </c>
      <c r="C795" s="18">
        <v>45658</v>
      </c>
      <c r="D795" t="str">
        <f>"8492"</f>
        <v>8492</v>
      </c>
      <c r="E795" s="18">
        <v>45539</v>
      </c>
      <c r="F795" t="s">
        <v>1499</v>
      </c>
      <c r="G795" t="s">
        <v>247</v>
      </c>
      <c r="H795" t="s">
        <v>1500</v>
      </c>
      <c r="L795" s="35">
        <v>31440</v>
      </c>
    </row>
    <row r="796" spans="1:12" x14ac:dyDescent="0.25">
      <c r="A796">
        <v>0</v>
      </c>
      <c r="B796" t="s">
        <v>244</v>
      </c>
      <c r="C796" s="18">
        <v>45658</v>
      </c>
      <c r="D796" t="str">
        <f>"8493"</f>
        <v>8493</v>
      </c>
      <c r="E796" s="18">
        <v>45539</v>
      </c>
      <c r="F796" t="s">
        <v>1501</v>
      </c>
      <c r="G796" t="s">
        <v>247</v>
      </c>
      <c r="H796" t="s">
        <v>1502</v>
      </c>
      <c r="L796" s="35">
        <v>42720</v>
      </c>
    </row>
    <row r="797" spans="1:12" x14ac:dyDescent="0.25">
      <c r="A797">
        <v>0</v>
      </c>
      <c r="B797" t="s">
        <v>244</v>
      </c>
      <c r="C797" s="18">
        <v>45658</v>
      </c>
      <c r="D797" t="str">
        <f>"8494"</f>
        <v>8494</v>
      </c>
      <c r="E797" s="18">
        <v>45540</v>
      </c>
      <c r="F797" t="str">
        <f>"19217"</f>
        <v>19217</v>
      </c>
      <c r="G797" t="s">
        <v>247</v>
      </c>
      <c r="H797" t="s">
        <v>1503</v>
      </c>
      <c r="L797" s="35">
        <v>110000</v>
      </c>
    </row>
    <row r="798" spans="1:12" x14ac:dyDescent="0.25">
      <c r="A798">
        <v>0</v>
      </c>
      <c r="B798" t="s">
        <v>244</v>
      </c>
      <c r="C798" s="18">
        <v>45658</v>
      </c>
      <c r="D798" t="str">
        <f>"8495"</f>
        <v>8495</v>
      </c>
      <c r="E798" s="18">
        <v>45540</v>
      </c>
      <c r="F798" t="s">
        <v>1504</v>
      </c>
      <c r="G798" t="s">
        <v>247</v>
      </c>
      <c r="H798" t="s">
        <v>1505</v>
      </c>
      <c r="L798" s="35">
        <v>48000</v>
      </c>
    </row>
    <row r="799" spans="1:12" x14ac:dyDescent="0.25">
      <c r="A799">
        <v>0</v>
      </c>
      <c r="B799" t="s">
        <v>244</v>
      </c>
      <c r="C799" s="18">
        <v>45658</v>
      </c>
      <c r="D799" t="str">
        <f>"8496"</f>
        <v>8496</v>
      </c>
      <c r="E799" s="18">
        <v>45541</v>
      </c>
      <c r="F799" t="str">
        <f>"07"</f>
        <v>07</v>
      </c>
      <c r="G799" t="s">
        <v>247</v>
      </c>
      <c r="H799" t="s">
        <v>1506</v>
      </c>
      <c r="L799" s="35">
        <v>1470000</v>
      </c>
    </row>
    <row r="800" spans="1:12" x14ac:dyDescent="0.25">
      <c r="A800">
        <v>0</v>
      </c>
      <c r="B800" t="s">
        <v>244</v>
      </c>
      <c r="C800" s="18">
        <v>45658</v>
      </c>
      <c r="D800" t="str">
        <f>"8497"</f>
        <v>8497</v>
      </c>
      <c r="E800" s="18">
        <v>45541</v>
      </c>
      <c r="F800" t="s">
        <v>1507</v>
      </c>
      <c r="G800" t="s">
        <v>247</v>
      </c>
      <c r="H800" t="s">
        <v>1508</v>
      </c>
      <c r="L800" s="35">
        <v>445600</v>
      </c>
    </row>
    <row r="801" spans="1:12" x14ac:dyDescent="0.25">
      <c r="A801">
        <v>0</v>
      </c>
      <c r="B801" t="s">
        <v>244</v>
      </c>
      <c r="C801" s="18">
        <v>45658</v>
      </c>
      <c r="D801" t="str">
        <f>"8498"</f>
        <v>8498</v>
      </c>
      <c r="E801" s="18">
        <v>45542</v>
      </c>
      <c r="F801" s="33">
        <v>45453</v>
      </c>
      <c r="G801" t="s">
        <v>247</v>
      </c>
      <c r="H801" t="s">
        <v>1509</v>
      </c>
      <c r="L801" s="35">
        <v>844000</v>
      </c>
    </row>
    <row r="802" spans="1:12" x14ac:dyDescent="0.25">
      <c r="A802">
        <v>0</v>
      </c>
      <c r="B802" t="s">
        <v>244</v>
      </c>
      <c r="C802" s="18">
        <v>45658</v>
      </c>
      <c r="D802" t="str">
        <f>"8499"</f>
        <v>8499</v>
      </c>
      <c r="E802" s="18">
        <v>45542</v>
      </c>
      <c r="F802" t="s">
        <v>1510</v>
      </c>
      <c r="G802" t="s">
        <v>247</v>
      </c>
      <c r="H802" t="s">
        <v>1511</v>
      </c>
      <c r="L802" s="35">
        <v>69120</v>
      </c>
    </row>
    <row r="803" spans="1:12" x14ac:dyDescent="0.25">
      <c r="A803">
        <v>0</v>
      </c>
      <c r="B803" t="s">
        <v>244</v>
      </c>
      <c r="C803" s="18">
        <v>45658</v>
      </c>
      <c r="D803" t="str">
        <f>"8500"</f>
        <v>8500</v>
      </c>
      <c r="E803" s="18">
        <v>45542</v>
      </c>
      <c r="F803" t="str">
        <f>"38366"</f>
        <v>38366</v>
      </c>
      <c r="G803" t="s">
        <v>247</v>
      </c>
      <c r="H803" t="s">
        <v>1512</v>
      </c>
      <c r="L803" s="35">
        <v>84000</v>
      </c>
    </row>
    <row r="804" spans="1:12" x14ac:dyDescent="0.25">
      <c r="A804">
        <v>0</v>
      </c>
      <c r="B804" t="s">
        <v>244</v>
      </c>
      <c r="C804" s="18">
        <v>45658</v>
      </c>
      <c r="D804" t="str">
        <f>"8501"</f>
        <v>8501</v>
      </c>
      <c r="E804" s="18">
        <v>45542</v>
      </c>
      <c r="F804" t="str">
        <f>"2618"</f>
        <v>2618</v>
      </c>
      <c r="G804" t="s">
        <v>247</v>
      </c>
      <c r="H804" t="s">
        <v>1513</v>
      </c>
      <c r="L804" s="35">
        <v>1005840</v>
      </c>
    </row>
    <row r="805" spans="1:12" x14ac:dyDescent="0.25">
      <c r="A805">
        <v>0</v>
      </c>
      <c r="B805" t="s">
        <v>244</v>
      </c>
      <c r="C805" s="18">
        <v>45658</v>
      </c>
      <c r="D805" t="str">
        <f>"8502"</f>
        <v>8502</v>
      </c>
      <c r="E805" s="18">
        <v>45542</v>
      </c>
      <c r="F805" t="s">
        <v>1514</v>
      </c>
      <c r="G805" t="s">
        <v>247</v>
      </c>
      <c r="H805" t="s">
        <v>1515</v>
      </c>
      <c r="L805" s="35">
        <v>28000</v>
      </c>
    </row>
    <row r="806" spans="1:12" x14ac:dyDescent="0.25">
      <c r="A806">
        <v>0</v>
      </c>
      <c r="B806" t="s">
        <v>244</v>
      </c>
      <c r="C806" s="18">
        <v>45658</v>
      </c>
      <c r="D806" t="str">
        <f>"8503"</f>
        <v>8503</v>
      </c>
      <c r="E806" s="18">
        <v>45545</v>
      </c>
      <c r="F806" t="s">
        <v>1516</v>
      </c>
      <c r="G806" t="s">
        <v>247</v>
      </c>
      <c r="H806" t="s">
        <v>1517</v>
      </c>
      <c r="L806" s="35">
        <v>33680</v>
      </c>
    </row>
    <row r="807" spans="1:12" x14ac:dyDescent="0.25">
      <c r="A807">
        <v>0</v>
      </c>
      <c r="B807" t="s">
        <v>244</v>
      </c>
      <c r="C807" s="18">
        <v>45658</v>
      </c>
      <c r="D807" t="str">
        <f>"8504"</f>
        <v>8504</v>
      </c>
      <c r="E807" s="18">
        <v>45546</v>
      </c>
      <c r="F807" t="s">
        <v>1518</v>
      </c>
      <c r="G807" t="s">
        <v>247</v>
      </c>
      <c r="H807" t="s">
        <v>1519</v>
      </c>
      <c r="L807" s="35">
        <v>77200</v>
      </c>
    </row>
    <row r="808" spans="1:12" x14ac:dyDescent="0.25">
      <c r="A808">
        <v>0</v>
      </c>
      <c r="B808" t="s">
        <v>244</v>
      </c>
      <c r="C808" s="18">
        <v>45658</v>
      </c>
      <c r="D808" t="str">
        <f>"8505"</f>
        <v>8505</v>
      </c>
      <c r="E808" s="18">
        <v>45546</v>
      </c>
      <c r="F808" t="s">
        <v>1520</v>
      </c>
      <c r="G808" t="s">
        <v>247</v>
      </c>
      <c r="H808" t="s">
        <v>1521</v>
      </c>
      <c r="L808" s="35">
        <v>472920</v>
      </c>
    </row>
    <row r="809" spans="1:12" x14ac:dyDescent="0.25">
      <c r="A809">
        <v>0</v>
      </c>
      <c r="B809" t="s">
        <v>244</v>
      </c>
      <c r="C809" s="18">
        <v>45658</v>
      </c>
      <c r="D809" t="str">
        <f>"8506"</f>
        <v>8506</v>
      </c>
      <c r="E809" s="18">
        <v>45547</v>
      </c>
      <c r="F809" t="s">
        <v>1522</v>
      </c>
      <c r="G809" t="s">
        <v>247</v>
      </c>
      <c r="H809" t="s">
        <v>1523</v>
      </c>
      <c r="L809" s="35">
        <v>107680</v>
      </c>
    </row>
    <row r="810" spans="1:12" x14ac:dyDescent="0.25">
      <c r="A810">
        <v>0</v>
      </c>
      <c r="B810" t="s">
        <v>244</v>
      </c>
      <c r="C810" s="18">
        <v>45658</v>
      </c>
      <c r="D810" t="str">
        <f>"8507"</f>
        <v>8507</v>
      </c>
      <c r="E810" s="18">
        <v>45547</v>
      </c>
      <c r="F810" t="s">
        <v>1524</v>
      </c>
      <c r="G810" t="s">
        <v>247</v>
      </c>
      <c r="H810" t="s">
        <v>1525</v>
      </c>
      <c r="L810" s="35">
        <v>136080</v>
      </c>
    </row>
    <row r="811" spans="1:12" x14ac:dyDescent="0.25">
      <c r="A811">
        <v>0</v>
      </c>
      <c r="B811" t="s">
        <v>244</v>
      </c>
      <c r="C811" s="18">
        <v>45658</v>
      </c>
      <c r="D811" t="str">
        <f>"8508"</f>
        <v>8508</v>
      </c>
      <c r="E811" s="18">
        <v>45547</v>
      </c>
      <c r="F811" t="str">
        <f>"4749"</f>
        <v>4749</v>
      </c>
      <c r="G811" t="s">
        <v>247</v>
      </c>
      <c r="H811" t="s">
        <v>1526</v>
      </c>
      <c r="L811" s="35">
        <v>56560</v>
      </c>
    </row>
    <row r="812" spans="1:12" x14ac:dyDescent="0.25">
      <c r="A812">
        <v>0</v>
      </c>
      <c r="B812" t="s">
        <v>244</v>
      </c>
      <c r="C812" s="18">
        <v>45658</v>
      </c>
      <c r="D812" t="str">
        <f>"8509"</f>
        <v>8509</v>
      </c>
      <c r="E812" s="18">
        <v>45553</v>
      </c>
      <c r="F812" t="str">
        <f>"250469"</f>
        <v>250469</v>
      </c>
      <c r="G812" t="s">
        <v>247</v>
      </c>
      <c r="H812" t="s">
        <v>1527</v>
      </c>
      <c r="L812" s="35">
        <v>187840</v>
      </c>
    </row>
    <row r="813" spans="1:12" x14ac:dyDescent="0.25">
      <c r="A813">
        <v>0</v>
      </c>
      <c r="B813" t="s">
        <v>244</v>
      </c>
      <c r="C813" s="18">
        <v>45658</v>
      </c>
      <c r="D813" t="str">
        <f>"8510"</f>
        <v>8510</v>
      </c>
      <c r="E813" s="18">
        <v>45554</v>
      </c>
      <c r="F813" t="str">
        <f>"202409005"</f>
        <v>202409005</v>
      </c>
      <c r="G813" t="s">
        <v>247</v>
      </c>
      <c r="H813" t="s">
        <v>1528</v>
      </c>
      <c r="L813" s="35">
        <v>160000</v>
      </c>
    </row>
    <row r="814" spans="1:12" x14ac:dyDescent="0.25">
      <c r="A814">
        <v>0</v>
      </c>
      <c r="B814" t="s">
        <v>244</v>
      </c>
      <c r="C814" s="18">
        <v>45658</v>
      </c>
      <c r="D814" t="str">
        <f>"8511"</f>
        <v>8511</v>
      </c>
      <c r="E814" s="18">
        <v>45560</v>
      </c>
      <c r="F814" t="s">
        <v>1529</v>
      </c>
      <c r="G814" t="s">
        <v>247</v>
      </c>
      <c r="H814" t="s">
        <v>1530</v>
      </c>
      <c r="L814" s="35">
        <v>983360</v>
      </c>
    </row>
    <row r="815" spans="1:12" x14ac:dyDescent="0.25">
      <c r="A815">
        <v>0</v>
      </c>
      <c r="B815" t="s">
        <v>244</v>
      </c>
      <c r="C815" s="18">
        <v>45658</v>
      </c>
      <c r="D815" t="str">
        <f>"8512"</f>
        <v>8512</v>
      </c>
      <c r="E815" s="18">
        <v>45566</v>
      </c>
      <c r="F815" t="s">
        <v>1531</v>
      </c>
      <c r="G815" t="s">
        <v>247</v>
      </c>
      <c r="H815" t="s">
        <v>1532</v>
      </c>
      <c r="L815" s="35">
        <v>571520</v>
      </c>
    </row>
    <row r="816" spans="1:12" x14ac:dyDescent="0.25">
      <c r="A816">
        <v>0</v>
      </c>
      <c r="B816" t="s">
        <v>244</v>
      </c>
      <c r="C816" s="18">
        <v>45658</v>
      </c>
      <c r="D816" t="str">
        <f>"8513"</f>
        <v>8513</v>
      </c>
      <c r="E816" s="18">
        <v>45566</v>
      </c>
      <c r="F816" t="s">
        <v>1533</v>
      </c>
      <c r="G816" t="s">
        <v>247</v>
      </c>
      <c r="H816" t="s">
        <v>1534</v>
      </c>
      <c r="L816" s="35">
        <v>313600</v>
      </c>
    </row>
    <row r="817" spans="1:12" x14ac:dyDescent="0.25">
      <c r="A817">
        <v>0</v>
      </c>
      <c r="B817" t="s">
        <v>244</v>
      </c>
      <c r="C817" s="18">
        <v>45658</v>
      </c>
      <c r="D817" t="str">
        <f>"8514"</f>
        <v>8514</v>
      </c>
      <c r="E817" s="18">
        <v>45566</v>
      </c>
      <c r="F817" t="str">
        <f>"241075"</f>
        <v>241075</v>
      </c>
      <c r="G817" t="s">
        <v>247</v>
      </c>
      <c r="H817" t="s">
        <v>1535</v>
      </c>
      <c r="L817" s="35">
        <v>88320</v>
      </c>
    </row>
    <row r="818" spans="1:12" x14ac:dyDescent="0.25">
      <c r="A818">
        <v>0</v>
      </c>
      <c r="B818" t="s">
        <v>244</v>
      </c>
      <c r="C818" s="18">
        <v>45658</v>
      </c>
      <c r="D818" t="str">
        <f>"8515"</f>
        <v>8515</v>
      </c>
      <c r="E818" s="18">
        <v>45566</v>
      </c>
      <c r="G818" t="s">
        <v>247</v>
      </c>
      <c r="H818" t="s">
        <v>1536</v>
      </c>
      <c r="L818" s="35">
        <v>3000</v>
      </c>
    </row>
    <row r="819" spans="1:12" x14ac:dyDescent="0.25">
      <c r="A819">
        <v>0</v>
      </c>
      <c r="B819" t="s">
        <v>244</v>
      </c>
      <c r="C819" s="18">
        <v>45658</v>
      </c>
      <c r="D819" t="str">
        <f>"8516"</f>
        <v>8516</v>
      </c>
      <c r="E819" s="18">
        <v>45566</v>
      </c>
      <c r="G819" t="s">
        <v>247</v>
      </c>
      <c r="H819" t="s">
        <v>1537</v>
      </c>
      <c r="L819" s="35">
        <v>3000</v>
      </c>
    </row>
    <row r="820" spans="1:12" x14ac:dyDescent="0.25">
      <c r="A820">
        <v>0</v>
      </c>
      <c r="B820" t="s">
        <v>244</v>
      </c>
      <c r="C820" s="18">
        <v>45658</v>
      </c>
      <c r="D820" t="str">
        <f>"8517"</f>
        <v>8517</v>
      </c>
      <c r="E820" s="18">
        <v>45566</v>
      </c>
      <c r="G820" t="s">
        <v>247</v>
      </c>
      <c r="H820" t="s">
        <v>1538</v>
      </c>
      <c r="L820" s="35">
        <v>9600</v>
      </c>
    </row>
    <row r="821" spans="1:12" x14ac:dyDescent="0.25">
      <c r="A821">
        <v>0</v>
      </c>
      <c r="B821" t="s">
        <v>244</v>
      </c>
      <c r="C821" s="18">
        <v>45658</v>
      </c>
      <c r="D821" t="str">
        <f>"8518"</f>
        <v>8518</v>
      </c>
      <c r="E821" s="18">
        <v>45567</v>
      </c>
      <c r="F821" t="s">
        <v>1539</v>
      </c>
      <c r="G821" t="s">
        <v>247</v>
      </c>
      <c r="H821" t="s">
        <v>1540</v>
      </c>
      <c r="L821" s="35">
        <v>200880</v>
      </c>
    </row>
    <row r="822" spans="1:12" x14ac:dyDescent="0.25">
      <c r="A822">
        <v>0</v>
      </c>
      <c r="B822" t="s">
        <v>244</v>
      </c>
      <c r="C822" s="18">
        <v>45658</v>
      </c>
      <c r="D822" t="str">
        <f>"8519"</f>
        <v>8519</v>
      </c>
      <c r="E822" s="18">
        <v>45567</v>
      </c>
      <c r="F822" t="str">
        <f>"15728278608"</f>
        <v>15728278608</v>
      </c>
      <c r="G822" t="s">
        <v>247</v>
      </c>
      <c r="H822" t="s">
        <v>1541</v>
      </c>
      <c r="L822" s="35">
        <v>85760</v>
      </c>
    </row>
    <row r="823" spans="1:12" x14ac:dyDescent="0.25">
      <c r="A823">
        <v>0</v>
      </c>
      <c r="B823" t="s">
        <v>244</v>
      </c>
      <c r="C823" s="18">
        <v>45658</v>
      </c>
      <c r="D823" t="str">
        <f>"8520"</f>
        <v>8520</v>
      </c>
      <c r="E823" s="18">
        <v>45568</v>
      </c>
      <c r="F823" t="s">
        <v>1542</v>
      </c>
      <c r="G823" t="s">
        <v>247</v>
      </c>
      <c r="H823" t="s">
        <v>1543</v>
      </c>
      <c r="L823" s="35">
        <v>37760</v>
      </c>
    </row>
    <row r="824" spans="1:12" x14ac:dyDescent="0.25">
      <c r="A824">
        <v>0</v>
      </c>
      <c r="B824" t="s">
        <v>244</v>
      </c>
      <c r="C824" s="18">
        <v>45658</v>
      </c>
      <c r="D824" t="str">
        <f>"8521"</f>
        <v>8521</v>
      </c>
      <c r="E824" s="18">
        <v>45569</v>
      </c>
      <c r="F824" t="str">
        <f>"19490"</f>
        <v>19490</v>
      </c>
      <c r="G824" t="s">
        <v>247</v>
      </c>
      <c r="H824" t="s">
        <v>1544</v>
      </c>
      <c r="L824" s="35">
        <v>184000</v>
      </c>
    </row>
    <row r="825" spans="1:12" x14ac:dyDescent="0.25">
      <c r="A825">
        <v>0</v>
      </c>
      <c r="B825" t="s">
        <v>244</v>
      </c>
      <c r="C825" s="18">
        <v>45658</v>
      </c>
      <c r="D825" t="str">
        <f>"8522"</f>
        <v>8522</v>
      </c>
      <c r="E825" s="18">
        <v>45569</v>
      </c>
      <c r="F825" t="s">
        <v>1545</v>
      </c>
      <c r="G825" t="s">
        <v>247</v>
      </c>
      <c r="H825" t="s">
        <v>1546</v>
      </c>
      <c r="L825" s="35">
        <v>326720</v>
      </c>
    </row>
    <row r="826" spans="1:12" x14ac:dyDescent="0.25">
      <c r="A826">
        <v>0</v>
      </c>
      <c r="B826" t="s">
        <v>244</v>
      </c>
      <c r="C826" s="18">
        <v>45658</v>
      </c>
      <c r="D826" t="str">
        <f>"8523"</f>
        <v>8523</v>
      </c>
      <c r="E826" s="18">
        <v>45569</v>
      </c>
      <c r="F826" t="str">
        <f>"20606"</f>
        <v>20606</v>
      </c>
      <c r="G826" t="s">
        <v>247</v>
      </c>
      <c r="H826" t="s">
        <v>1547</v>
      </c>
      <c r="L826" s="35">
        <v>112000</v>
      </c>
    </row>
    <row r="827" spans="1:12" x14ac:dyDescent="0.25">
      <c r="A827">
        <v>0</v>
      </c>
      <c r="B827" t="s">
        <v>244</v>
      </c>
      <c r="C827" s="18">
        <v>45658</v>
      </c>
      <c r="D827" t="str">
        <f>"8524"</f>
        <v>8524</v>
      </c>
      <c r="E827" s="18">
        <v>45572</v>
      </c>
      <c r="F827" t="s">
        <v>1548</v>
      </c>
      <c r="G827" t="s">
        <v>247</v>
      </c>
      <c r="H827" t="s">
        <v>1549</v>
      </c>
      <c r="L827" s="35">
        <v>16000</v>
      </c>
    </row>
    <row r="828" spans="1:12" x14ac:dyDescent="0.25">
      <c r="A828">
        <v>0</v>
      </c>
      <c r="B828" t="s">
        <v>244</v>
      </c>
      <c r="C828" s="18">
        <v>45658</v>
      </c>
      <c r="D828" t="str">
        <f>"8525"</f>
        <v>8525</v>
      </c>
      <c r="E828" s="18">
        <v>45572</v>
      </c>
      <c r="F828" t="s">
        <v>1550</v>
      </c>
      <c r="G828" t="s">
        <v>247</v>
      </c>
      <c r="H828" t="s">
        <v>1551</v>
      </c>
      <c r="L828" s="35">
        <v>40000</v>
      </c>
    </row>
    <row r="829" spans="1:12" x14ac:dyDescent="0.25">
      <c r="A829">
        <v>0</v>
      </c>
      <c r="B829" t="s">
        <v>244</v>
      </c>
      <c r="C829" s="18">
        <v>45658</v>
      </c>
      <c r="D829" t="str">
        <f>"8526"</f>
        <v>8526</v>
      </c>
      <c r="E829" s="18">
        <v>45572</v>
      </c>
      <c r="F829" t="str">
        <f>"03537"</f>
        <v>03537</v>
      </c>
      <c r="G829" t="s">
        <v>247</v>
      </c>
      <c r="H829" t="s">
        <v>1552</v>
      </c>
      <c r="L829" s="35">
        <v>21600</v>
      </c>
    </row>
    <row r="830" spans="1:12" x14ac:dyDescent="0.25">
      <c r="A830">
        <v>0</v>
      </c>
      <c r="B830" t="s">
        <v>244</v>
      </c>
      <c r="C830" s="18">
        <v>45658</v>
      </c>
      <c r="D830" t="str">
        <f>"8527"</f>
        <v>8527</v>
      </c>
      <c r="E830" s="18">
        <v>45572</v>
      </c>
      <c r="F830" s="18">
        <v>45530</v>
      </c>
      <c r="G830" t="s">
        <v>247</v>
      </c>
      <c r="H830" t="s">
        <v>1553</v>
      </c>
      <c r="L830" s="35">
        <v>1000000</v>
      </c>
    </row>
    <row r="831" spans="1:12" x14ac:dyDescent="0.25">
      <c r="A831">
        <v>0</v>
      </c>
      <c r="B831" t="s">
        <v>244</v>
      </c>
      <c r="C831" s="18">
        <v>45658</v>
      </c>
      <c r="D831" t="str">
        <f>"8528"</f>
        <v>8528</v>
      </c>
      <c r="E831" s="18">
        <v>45572</v>
      </c>
      <c r="F831" t="str">
        <f>"16505"</f>
        <v>16505</v>
      </c>
      <c r="G831" t="s">
        <v>247</v>
      </c>
      <c r="H831" t="s">
        <v>1554</v>
      </c>
      <c r="L831" s="35">
        <v>720000</v>
      </c>
    </row>
    <row r="832" spans="1:12" x14ac:dyDescent="0.25">
      <c r="A832">
        <v>0</v>
      </c>
      <c r="B832" t="s">
        <v>244</v>
      </c>
      <c r="C832" s="18">
        <v>45658</v>
      </c>
      <c r="D832" t="str">
        <f>"8529"</f>
        <v>8529</v>
      </c>
      <c r="E832" s="18">
        <v>45572</v>
      </c>
      <c r="F832" t="s">
        <v>1555</v>
      </c>
      <c r="G832" t="s">
        <v>247</v>
      </c>
      <c r="H832" t="s">
        <v>1556</v>
      </c>
      <c r="L832" s="35">
        <v>384240</v>
      </c>
    </row>
    <row r="833" spans="1:12" x14ac:dyDescent="0.25">
      <c r="A833">
        <v>0</v>
      </c>
      <c r="B833" t="s">
        <v>244</v>
      </c>
      <c r="C833" s="18">
        <v>45658</v>
      </c>
      <c r="D833" t="str">
        <f>"8530"</f>
        <v>8530</v>
      </c>
      <c r="E833" s="18">
        <v>45572</v>
      </c>
      <c r="F833" t="s">
        <v>1557</v>
      </c>
      <c r="G833" t="s">
        <v>247</v>
      </c>
      <c r="H833" t="s">
        <v>1551</v>
      </c>
      <c r="L833" s="35">
        <v>80000</v>
      </c>
    </row>
    <row r="834" spans="1:12" x14ac:dyDescent="0.25">
      <c r="A834">
        <v>0</v>
      </c>
      <c r="B834" t="s">
        <v>244</v>
      </c>
      <c r="C834" s="18">
        <v>45658</v>
      </c>
      <c r="D834" t="str">
        <f>"8531"</f>
        <v>8531</v>
      </c>
      <c r="E834" s="18">
        <v>45572</v>
      </c>
      <c r="F834" t="s">
        <v>1558</v>
      </c>
      <c r="G834" t="s">
        <v>247</v>
      </c>
      <c r="H834" t="s">
        <v>1559</v>
      </c>
      <c r="L834" s="35">
        <v>77040</v>
      </c>
    </row>
    <row r="835" spans="1:12" x14ac:dyDescent="0.25">
      <c r="A835">
        <v>0</v>
      </c>
      <c r="B835" t="s">
        <v>244</v>
      </c>
      <c r="C835" s="18">
        <v>45658</v>
      </c>
      <c r="D835" t="str">
        <f>"8532"</f>
        <v>8532</v>
      </c>
      <c r="E835" s="18">
        <v>45574</v>
      </c>
      <c r="G835" t="s">
        <v>247</v>
      </c>
      <c r="H835" t="s">
        <v>1560</v>
      </c>
      <c r="L835" s="35">
        <v>9600</v>
      </c>
    </row>
    <row r="836" spans="1:12" x14ac:dyDescent="0.25">
      <c r="A836">
        <v>0</v>
      </c>
      <c r="B836" t="s">
        <v>244</v>
      </c>
      <c r="C836" s="18">
        <v>45658</v>
      </c>
      <c r="D836" t="str">
        <f>"8533"</f>
        <v>8533</v>
      </c>
      <c r="E836" s="18">
        <v>45574</v>
      </c>
      <c r="G836" t="s">
        <v>247</v>
      </c>
      <c r="H836" t="s">
        <v>1561</v>
      </c>
      <c r="L836" s="35">
        <v>9600</v>
      </c>
    </row>
    <row r="837" spans="1:12" x14ac:dyDescent="0.25">
      <c r="A837">
        <v>0</v>
      </c>
      <c r="B837" t="s">
        <v>244</v>
      </c>
      <c r="C837" s="18">
        <v>45658</v>
      </c>
      <c r="D837" t="str">
        <f>"8534"</f>
        <v>8534</v>
      </c>
      <c r="E837" s="18">
        <v>45575</v>
      </c>
      <c r="F837" t="str">
        <f>"1763"</f>
        <v>1763</v>
      </c>
      <c r="G837" t="s">
        <v>247</v>
      </c>
      <c r="H837" t="s">
        <v>1562</v>
      </c>
      <c r="L837" s="35">
        <v>760000</v>
      </c>
    </row>
    <row r="838" spans="1:12" x14ac:dyDescent="0.25">
      <c r="A838">
        <v>0</v>
      </c>
      <c r="B838" t="s">
        <v>244</v>
      </c>
      <c r="C838" s="18">
        <v>45658</v>
      </c>
      <c r="D838" t="str">
        <f>"8535"</f>
        <v>8535</v>
      </c>
      <c r="E838" s="18">
        <v>45576</v>
      </c>
      <c r="F838" t="str">
        <f>"20642"</f>
        <v>20642</v>
      </c>
      <c r="G838" t="s">
        <v>247</v>
      </c>
      <c r="H838" t="s">
        <v>1563</v>
      </c>
      <c r="L838" s="35">
        <v>610147</v>
      </c>
    </row>
    <row r="839" spans="1:12" x14ac:dyDescent="0.25">
      <c r="A839">
        <v>0</v>
      </c>
      <c r="B839" t="s">
        <v>244</v>
      </c>
      <c r="C839" s="18">
        <v>45658</v>
      </c>
      <c r="D839" t="str">
        <f>"8536"</f>
        <v>8536</v>
      </c>
      <c r="E839" s="18">
        <v>45580</v>
      </c>
      <c r="G839" t="s">
        <v>247</v>
      </c>
      <c r="H839" t="s">
        <v>1564</v>
      </c>
      <c r="L839" s="35">
        <v>9600</v>
      </c>
    </row>
    <row r="840" spans="1:12" x14ac:dyDescent="0.25">
      <c r="A840">
        <v>0</v>
      </c>
      <c r="B840" t="s">
        <v>244</v>
      </c>
      <c r="C840" s="18">
        <v>45658</v>
      </c>
      <c r="D840" t="str">
        <f>"8537"</f>
        <v>8537</v>
      </c>
      <c r="E840" s="18">
        <v>45588</v>
      </c>
      <c r="G840" t="s">
        <v>247</v>
      </c>
      <c r="H840" t="s">
        <v>1565</v>
      </c>
      <c r="L840" s="35">
        <v>3000</v>
      </c>
    </row>
    <row r="841" spans="1:12" x14ac:dyDescent="0.25">
      <c r="A841">
        <v>0</v>
      </c>
      <c r="B841" t="s">
        <v>244</v>
      </c>
      <c r="C841" s="18">
        <v>45658</v>
      </c>
      <c r="D841" t="str">
        <f>"8538"</f>
        <v>8538</v>
      </c>
      <c r="E841" s="18">
        <v>45588</v>
      </c>
      <c r="G841" t="s">
        <v>247</v>
      </c>
      <c r="H841" t="s">
        <v>1566</v>
      </c>
      <c r="L841" s="35">
        <v>3000</v>
      </c>
    </row>
    <row r="842" spans="1:12" x14ac:dyDescent="0.25">
      <c r="A842">
        <v>0</v>
      </c>
      <c r="B842" t="s">
        <v>244</v>
      </c>
      <c r="C842" s="18">
        <v>45658</v>
      </c>
      <c r="D842" t="str">
        <f>"8539"</f>
        <v>8539</v>
      </c>
      <c r="E842" s="18">
        <v>45588</v>
      </c>
      <c r="G842" t="s">
        <v>247</v>
      </c>
      <c r="H842" t="s">
        <v>1567</v>
      </c>
      <c r="L842" s="35">
        <v>9600</v>
      </c>
    </row>
    <row r="843" spans="1:12" x14ac:dyDescent="0.25">
      <c r="A843">
        <v>0</v>
      </c>
      <c r="B843" t="s">
        <v>244</v>
      </c>
      <c r="C843" s="18">
        <v>45658</v>
      </c>
      <c r="D843" t="str">
        <f>"8540"</f>
        <v>8540</v>
      </c>
      <c r="E843" t="str">
        <f>"00013090"</f>
        <v>00013090</v>
      </c>
      <c r="G843" t="s">
        <v>247</v>
      </c>
      <c r="H843" t="s">
        <v>1568</v>
      </c>
      <c r="L843" s="35">
        <v>19099748.5</v>
      </c>
    </row>
    <row r="844" spans="1:12" x14ac:dyDescent="0.25">
      <c r="A844">
        <v>0</v>
      </c>
      <c r="B844" t="s">
        <v>244</v>
      </c>
      <c r="C844" s="18">
        <v>45658</v>
      </c>
      <c r="D844" t="str">
        <f>"8541"</f>
        <v>8541</v>
      </c>
      <c r="E844" s="18">
        <v>45593</v>
      </c>
      <c r="G844" t="s">
        <v>247</v>
      </c>
      <c r="H844" t="s">
        <v>1569</v>
      </c>
      <c r="L844" s="35">
        <v>4178406.06</v>
      </c>
    </row>
    <row r="845" spans="1:12" x14ac:dyDescent="0.25">
      <c r="A845">
        <v>0</v>
      </c>
      <c r="B845" t="s">
        <v>244</v>
      </c>
      <c r="C845" s="18">
        <v>45658</v>
      </c>
      <c r="D845" t="str">
        <f>"8542"</f>
        <v>8542</v>
      </c>
      <c r="E845" s="18">
        <v>45596</v>
      </c>
      <c r="G845" t="s">
        <v>247</v>
      </c>
      <c r="H845" t="s">
        <v>1570</v>
      </c>
      <c r="L845" s="35">
        <v>10800</v>
      </c>
    </row>
    <row r="846" spans="1:12" x14ac:dyDescent="0.25">
      <c r="A846">
        <v>0</v>
      </c>
      <c r="B846" t="s">
        <v>244</v>
      </c>
      <c r="C846" s="18">
        <v>45658</v>
      </c>
      <c r="D846" t="str">
        <f>"8543"</f>
        <v>8543</v>
      </c>
      <c r="E846" s="18">
        <v>45596</v>
      </c>
      <c r="G846" t="s">
        <v>247</v>
      </c>
      <c r="H846" t="s">
        <v>1571</v>
      </c>
      <c r="L846" s="35">
        <v>11711.71</v>
      </c>
    </row>
    <row r="847" spans="1:12" x14ac:dyDescent="0.25">
      <c r="A847">
        <v>0</v>
      </c>
      <c r="B847" t="s">
        <v>244</v>
      </c>
      <c r="C847" s="18">
        <v>45658</v>
      </c>
      <c r="D847" t="str">
        <f>"8544"</f>
        <v>8544</v>
      </c>
      <c r="E847" s="18">
        <v>45597</v>
      </c>
      <c r="F847" t="str">
        <f>"20875"</f>
        <v>20875</v>
      </c>
      <c r="G847" t="s">
        <v>247</v>
      </c>
      <c r="H847" t="s">
        <v>1572</v>
      </c>
      <c r="L847" s="35">
        <v>32000</v>
      </c>
    </row>
    <row r="848" spans="1:12" x14ac:dyDescent="0.25">
      <c r="A848">
        <v>0</v>
      </c>
      <c r="B848" t="s">
        <v>250</v>
      </c>
      <c r="C848" s="18">
        <v>45870</v>
      </c>
      <c r="D848" t="str">
        <f>"8544"</f>
        <v>8544</v>
      </c>
      <c r="E848" s="18">
        <v>45870</v>
      </c>
      <c r="F848" t="str">
        <f>"25115"</f>
        <v>25115</v>
      </c>
      <c r="G848" t="s">
        <v>247</v>
      </c>
      <c r="H848" t="s">
        <v>1573</v>
      </c>
      <c r="L848" s="35">
        <v>224400</v>
      </c>
    </row>
    <row r="849" spans="1:12" x14ac:dyDescent="0.25">
      <c r="A849">
        <v>0</v>
      </c>
      <c r="B849" t="s">
        <v>244</v>
      </c>
      <c r="C849" s="18">
        <v>45658</v>
      </c>
      <c r="D849" t="str">
        <f>"8545"</f>
        <v>8545</v>
      </c>
      <c r="E849" s="18">
        <v>45597</v>
      </c>
      <c r="F849" t="str">
        <f>"20929"</f>
        <v>20929</v>
      </c>
      <c r="G849" t="s">
        <v>247</v>
      </c>
      <c r="H849" t="s">
        <v>1574</v>
      </c>
      <c r="L849" s="35">
        <v>351356</v>
      </c>
    </row>
    <row r="850" spans="1:12" x14ac:dyDescent="0.25">
      <c r="A850">
        <v>0</v>
      </c>
      <c r="B850" t="s">
        <v>244</v>
      </c>
      <c r="C850" s="18">
        <v>45658</v>
      </c>
      <c r="D850" t="str">
        <f>"8546"</f>
        <v>8546</v>
      </c>
      <c r="E850" s="18">
        <v>45600</v>
      </c>
      <c r="G850" t="s">
        <v>247</v>
      </c>
      <c r="H850" t="s">
        <v>1575</v>
      </c>
      <c r="L850" s="35">
        <v>3000</v>
      </c>
    </row>
    <row r="851" spans="1:12" x14ac:dyDescent="0.25">
      <c r="A851">
        <v>0</v>
      </c>
      <c r="B851" t="s">
        <v>244</v>
      </c>
      <c r="C851" s="18">
        <v>45658</v>
      </c>
      <c r="D851" t="str">
        <f>"8547"</f>
        <v>8547</v>
      </c>
      <c r="E851" s="18">
        <v>45601</v>
      </c>
      <c r="F851" t="s">
        <v>1576</v>
      </c>
      <c r="G851" t="s">
        <v>247</v>
      </c>
      <c r="H851" t="s">
        <v>1577</v>
      </c>
      <c r="L851" s="35">
        <v>386640</v>
      </c>
    </row>
    <row r="852" spans="1:12" x14ac:dyDescent="0.25">
      <c r="A852">
        <v>0</v>
      </c>
      <c r="B852" t="s">
        <v>244</v>
      </c>
      <c r="C852" s="18">
        <v>45658</v>
      </c>
      <c r="D852" t="str">
        <f>"8548"</f>
        <v>8548</v>
      </c>
      <c r="E852" s="18">
        <v>45601</v>
      </c>
      <c r="F852" t="str">
        <f>"343098"</f>
        <v>343098</v>
      </c>
      <c r="G852" t="s">
        <v>247</v>
      </c>
      <c r="H852" t="s">
        <v>1578</v>
      </c>
      <c r="L852" s="35">
        <v>1724928</v>
      </c>
    </row>
    <row r="853" spans="1:12" x14ac:dyDescent="0.25">
      <c r="A853">
        <v>0</v>
      </c>
      <c r="B853" t="s">
        <v>244</v>
      </c>
      <c r="C853" s="18">
        <v>45658</v>
      </c>
      <c r="D853" t="str">
        <f>"8549"</f>
        <v>8549</v>
      </c>
      <c r="E853" s="18">
        <v>45601</v>
      </c>
      <c r="F853" t="s">
        <v>1579</v>
      </c>
      <c r="G853" t="s">
        <v>247</v>
      </c>
      <c r="H853" t="s">
        <v>1580</v>
      </c>
      <c r="L853" s="35">
        <v>961440</v>
      </c>
    </row>
    <row r="854" spans="1:12" x14ac:dyDescent="0.25">
      <c r="A854">
        <v>0</v>
      </c>
      <c r="B854" t="s">
        <v>244</v>
      </c>
      <c r="C854" s="18">
        <v>45658</v>
      </c>
      <c r="D854" t="str">
        <f>"8550"</f>
        <v>8550</v>
      </c>
      <c r="E854" s="18">
        <v>45601</v>
      </c>
      <c r="F854" t="s">
        <v>1581</v>
      </c>
      <c r="G854" t="s">
        <v>247</v>
      </c>
      <c r="H854" t="s">
        <v>1582</v>
      </c>
      <c r="L854" s="35">
        <v>62080</v>
      </c>
    </row>
    <row r="855" spans="1:12" x14ac:dyDescent="0.25">
      <c r="A855">
        <v>0</v>
      </c>
      <c r="B855" t="s">
        <v>244</v>
      </c>
      <c r="C855" s="18">
        <v>45658</v>
      </c>
      <c r="D855" t="str">
        <f>"8551"</f>
        <v>8551</v>
      </c>
      <c r="E855" s="18">
        <v>45601</v>
      </c>
      <c r="F855" t="s">
        <v>1583</v>
      </c>
      <c r="G855" t="s">
        <v>247</v>
      </c>
      <c r="H855" t="s">
        <v>1584</v>
      </c>
      <c r="L855" s="35">
        <v>32000</v>
      </c>
    </row>
    <row r="856" spans="1:12" x14ac:dyDescent="0.25">
      <c r="A856">
        <v>0</v>
      </c>
      <c r="B856" t="s">
        <v>244</v>
      </c>
      <c r="C856" s="18">
        <v>45658</v>
      </c>
      <c r="D856" t="str">
        <f>"8552"</f>
        <v>8552</v>
      </c>
      <c r="E856" s="18">
        <v>45601</v>
      </c>
      <c r="G856" t="s">
        <v>247</v>
      </c>
      <c r="H856" t="s">
        <v>1585</v>
      </c>
      <c r="L856" s="35">
        <v>3000</v>
      </c>
    </row>
    <row r="857" spans="1:12" x14ac:dyDescent="0.25">
      <c r="A857">
        <v>0</v>
      </c>
      <c r="B857" t="s">
        <v>244</v>
      </c>
      <c r="C857" s="18">
        <v>45658</v>
      </c>
      <c r="D857" t="str">
        <f>"8553"</f>
        <v>8553</v>
      </c>
      <c r="E857" s="18">
        <v>45601</v>
      </c>
      <c r="G857" t="s">
        <v>247</v>
      </c>
      <c r="H857" t="s">
        <v>1586</v>
      </c>
      <c r="L857" s="35">
        <v>3000</v>
      </c>
    </row>
    <row r="858" spans="1:12" x14ac:dyDescent="0.25">
      <c r="A858">
        <v>0</v>
      </c>
      <c r="B858" t="s">
        <v>244</v>
      </c>
      <c r="C858" s="18">
        <v>45658</v>
      </c>
      <c r="D858" t="str">
        <f>"8554"</f>
        <v>8554</v>
      </c>
      <c r="E858" s="18">
        <v>45602</v>
      </c>
      <c r="F858" t="str">
        <f>"060924"</f>
        <v>060924</v>
      </c>
      <c r="G858" t="s">
        <v>247</v>
      </c>
      <c r="H858" t="s">
        <v>1587</v>
      </c>
      <c r="L858" s="35">
        <v>576000</v>
      </c>
    </row>
    <row r="859" spans="1:12" x14ac:dyDescent="0.25">
      <c r="A859">
        <v>0</v>
      </c>
      <c r="B859" t="s">
        <v>244</v>
      </c>
      <c r="C859" s="18">
        <v>45658</v>
      </c>
      <c r="D859" t="str">
        <f>"8555"</f>
        <v>8555</v>
      </c>
      <c r="E859" s="18">
        <v>45602</v>
      </c>
      <c r="F859" t="s">
        <v>1588</v>
      </c>
      <c r="G859" t="s">
        <v>247</v>
      </c>
      <c r="H859" t="s">
        <v>1577</v>
      </c>
      <c r="L859" s="35">
        <v>664920</v>
      </c>
    </row>
    <row r="860" spans="1:12" x14ac:dyDescent="0.25">
      <c r="A860">
        <v>0</v>
      </c>
      <c r="B860" t="s">
        <v>244</v>
      </c>
      <c r="C860" s="18">
        <v>45658</v>
      </c>
      <c r="D860" t="str">
        <f>"8556"</f>
        <v>8556</v>
      </c>
      <c r="E860" s="18">
        <v>45602</v>
      </c>
      <c r="F860" t="s">
        <v>1589</v>
      </c>
      <c r="G860" t="s">
        <v>247</v>
      </c>
      <c r="H860" t="s">
        <v>1584</v>
      </c>
      <c r="L860" s="35">
        <v>96000</v>
      </c>
    </row>
    <row r="861" spans="1:12" x14ac:dyDescent="0.25">
      <c r="A861">
        <v>0</v>
      </c>
      <c r="B861" t="s">
        <v>244</v>
      </c>
      <c r="C861" s="18">
        <v>45658</v>
      </c>
      <c r="D861" t="str">
        <f>"8557"</f>
        <v>8557</v>
      </c>
      <c r="E861" s="18">
        <v>45602</v>
      </c>
      <c r="F861" t="s">
        <v>1590</v>
      </c>
      <c r="G861" t="s">
        <v>247</v>
      </c>
      <c r="H861" t="s">
        <v>1591</v>
      </c>
      <c r="L861" s="35">
        <v>28320</v>
      </c>
    </row>
    <row r="862" spans="1:12" x14ac:dyDescent="0.25">
      <c r="A862">
        <v>0</v>
      </c>
      <c r="B862" t="s">
        <v>244</v>
      </c>
      <c r="C862" s="18">
        <v>45658</v>
      </c>
      <c r="D862" t="str">
        <f>"8558"</f>
        <v>8558</v>
      </c>
      <c r="E862" s="18">
        <v>45602</v>
      </c>
      <c r="F862" t="s">
        <v>1592</v>
      </c>
      <c r="G862" t="s">
        <v>247</v>
      </c>
      <c r="H862" t="s">
        <v>1593</v>
      </c>
      <c r="L862" s="35">
        <v>295200</v>
      </c>
    </row>
    <row r="863" spans="1:12" x14ac:dyDescent="0.25">
      <c r="A863">
        <v>0</v>
      </c>
      <c r="B863" t="s">
        <v>244</v>
      </c>
      <c r="C863" s="18">
        <v>45658</v>
      </c>
      <c r="D863" t="str">
        <f>"8559"</f>
        <v>8559</v>
      </c>
      <c r="E863" s="18">
        <v>45603</v>
      </c>
      <c r="F863" t="s">
        <v>1594</v>
      </c>
      <c r="G863" t="s">
        <v>247</v>
      </c>
      <c r="H863" t="s">
        <v>1595</v>
      </c>
      <c r="L863" s="35">
        <v>1204960</v>
      </c>
    </row>
    <row r="864" spans="1:12" x14ac:dyDescent="0.25">
      <c r="A864">
        <v>0</v>
      </c>
      <c r="B864" t="s">
        <v>244</v>
      </c>
      <c r="C864" s="18">
        <v>45658</v>
      </c>
      <c r="D864" t="str">
        <f>"8560"</f>
        <v>8560</v>
      </c>
      <c r="E864" s="18">
        <v>45607</v>
      </c>
      <c r="F864" t="s">
        <v>1596</v>
      </c>
      <c r="G864" t="s">
        <v>247</v>
      </c>
      <c r="H864" t="s">
        <v>1597</v>
      </c>
      <c r="L864" s="35">
        <v>30000</v>
      </c>
    </row>
    <row r="865" spans="1:12" x14ac:dyDescent="0.25">
      <c r="A865">
        <v>0</v>
      </c>
      <c r="B865" t="s">
        <v>244</v>
      </c>
      <c r="C865" s="18">
        <v>45658</v>
      </c>
      <c r="D865" t="str">
        <f>"8561"</f>
        <v>8561</v>
      </c>
      <c r="E865" s="18">
        <v>45607</v>
      </c>
      <c r="F865" t="s">
        <v>1598</v>
      </c>
      <c r="G865" t="s">
        <v>247</v>
      </c>
      <c r="H865" t="s">
        <v>1599</v>
      </c>
      <c r="L865" s="35">
        <v>24000</v>
      </c>
    </row>
    <row r="866" spans="1:12" x14ac:dyDescent="0.25">
      <c r="A866">
        <v>0</v>
      </c>
      <c r="B866" t="s">
        <v>244</v>
      </c>
      <c r="C866" s="18">
        <v>45658</v>
      </c>
      <c r="D866" t="str">
        <f>"8562"</f>
        <v>8562</v>
      </c>
      <c r="E866" s="18">
        <v>45609</v>
      </c>
      <c r="F866" t="s">
        <v>1600</v>
      </c>
      <c r="G866" t="s">
        <v>247</v>
      </c>
      <c r="H866" t="s">
        <v>1601</v>
      </c>
      <c r="L866" s="35">
        <v>101360</v>
      </c>
    </row>
    <row r="867" spans="1:12" x14ac:dyDescent="0.25">
      <c r="A867">
        <v>0</v>
      </c>
      <c r="B867" t="s">
        <v>244</v>
      </c>
      <c r="C867" s="18">
        <v>45658</v>
      </c>
      <c r="D867" t="str">
        <f>"8563"</f>
        <v>8563</v>
      </c>
      <c r="E867" s="18">
        <v>45609</v>
      </c>
      <c r="F867" t="s">
        <v>1602</v>
      </c>
      <c r="G867" t="s">
        <v>247</v>
      </c>
      <c r="H867" t="s">
        <v>1603</v>
      </c>
      <c r="L867" s="35">
        <v>72000</v>
      </c>
    </row>
    <row r="868" spans="1:12" x14ac:dyDescent="0.25">
      <c r="A868">
        <v>0</v>
      </c>
      <c r="B868" t="s">
        <v>244</v>
      </c>
      <c r="C868" s="18">
        <v>45658</v>
      </c>
      <c r="D868" t="str">
        <f>"8564"</f>
        <v>8564</v>
      </c>
      <c r="E868" s="18">
        <v>45610</v>
      </c>
      <c r="F868" t="str">
        <f>"241369"</f>
        <v>241369</v>
      </c>
      <c r="G868" t="s">
        <v>247</v>
      </c>
      <c r="H868" t="s">
        <v>1604</v>
      </c>
      <c r="L868" s="35">
        <v>54000</v>
      </c>
    </row>
    <row r="869" spans="1:12" x14ac:dyDescent="0.25">
      <c r="A869">
        <v>0</v>
      </c>
      <c r="B869" t="s">
        <v>244</v>
      </c>
      <c r="C869" s="18">
        <v>45658</v>
      </c>
      <c r="D869" t="str">
        <f>"8565"</f>
        <v>8565</v>
      </c>
      <c r="E869" s="18">
        <v>45614</v>
      </c>
      <c r="G869" t="s">
        <v>247</v>
      </c>
      <c r="H869" t="s">
        <v>1605</v>
      </c>
      <c r="L869" s="35">
        <v>3000</v>
      </c>
    </row>
    <row r="870" spans="1:12" x14ac:dyDescent="0.25">
      <c r="A870">
        <v>0</v>
      </c>
      <c r="B870" t="s">
        <v>244</v>
      </c>
      <c r="C870" s="18">
        <v>45658</v>
      </c>
      <c r="D870" t="str">
        <f>"8566"</f>
        <v>8566</v>
      </c>
      <c r="E870" s="18">
        <v>45614</v>
      </c>
      <c r="G870" t="s">
        <v>247</v>
      </c>
      <c r="H870" t="s">
        <v>1606</v>
      </c>
      <c r="L870" s="35">
        <v>9600</v>
      </c>
    </row>
    <row r="871" spans="1:12" x14ac:dyDescent="0.25">
      <c r="A871">
        <v>0</v>
      </c>
      <c r="B871" t="s">
        <v>244</v>
      </c>
      <c r="C871" s="18">
        <v>45658</v>
      </c>
      <c r="D871" t="str">
        <f>"8567"</f>
        <v>8567</v>
      </c>
      <c r="E871" s="18">
        <v>45614</v>
      </c>
      <c r="G871" t="s">
        <v>247</v>
      </c>
      <c r="H871" t="s">
        <v>1607</v>
      </c>
      <c r="L871" s="35">
        <v>9600</v>
      </c>
    </row>
    <row r="872" spans="1:12" x14ac:dyDescent="0.25">
      <c r="A872">
        <v>0</v>
      </c>
      <c r="B872" t="s">
        <v>244</v>
      </c>
      <c r="C872" s="18">
        <v>45658</v>
      </c>
      <c r="D872" t="str">
        <f>"8568"</f>
        <v>8568</v>
      </c>
      <c r="E872" s="18">
        <v>45614</v>
      </c>
      <c r="G872" t="s">
        <v>247</v>
      </c>
      <c r="H872" t="s">
        <v>1608</v>
      </c>
      <c r="L872" s="35">
        <v>9600</v>
      </c>
    </row>
    <row r="873" spans="1:12" x14ac:dyDescent="0.25">
      <c r="A873">
        <v>0</v>
      </c>
      <c r="B873" t="s">
        <v>244</v>
      </c>
      <c r="C873" s="18">
        <v>45658</v>
      </c>
      <c r="D873" t="str">
        <f>"8569"</f>
        <v>8569</v>
      </c>
      <c r="E873" s="18">
        <v>45614</v>
      </c>
      <c r="G873" t="s">
        <v>247</v>
      </c>
      <c r="H873" t="s">
        <v>1609</v>
      </c>
      <c r="L873" s="35">
        <v>9600</v>
      </c>
    </row>
    <row r="874" spans="1:12" x14ac:dyDescent="0.25">
      <c r="A874">
        <v>0</v>
      </c>
      <c r="B874" t="s">
        <v>244</v>
      </c>
      <c r="C874" s="18">
        <v>45658</v>
      </c>
      <c r="D874" t="str">
        <f>"8570"</f>
        <v>8570</v>
      </c>
      <c r="E874" s="18">
        <v>45616</v>
      </c>
      <c r="F874" t="s">
        <v>1610</v>
      </c>
      <c r="G874" t="s">
        <v>247</v>
      </c>
      <c r="H874" t="s">
        <v>1611</v>
      </c>
      <c r="L874" s="35">
        <v>43840</v>
      </c>
    </row>
    <row r="875" spans="1:12" x14ac:dyDescent="0.25">
      <c r="A875">
        <v>0</v>
      </c>
      <c r="B875" t="s">
        <v>244</v>
      </c>
      <c r="C875" s="18">
        <v>45658</v>
      </c>
      <c r="D875" t="str">
        <f>"8571"</f>
        <v>8571</v>
      </c>
      <c r="E875" s="18">
        <v>45624</v>
      </c>
      <c r="F875" t="s">
        <v>1612</v>
      </c>
      <c r="G875" t="s">
        <v>247</v>
      </c>
      <c r="H875" t="s">
        <v>1577</v>
      </c>
      <c r="L875" s="35">
        <v>247320</v>
      </c>
    </row>
    <row r="876" spans="1:12" x14ac:dyDescent="0.25">
      <c r="A876">
        <v>0</v>
      </c>
      <c r="B876" t="s">
        <v>244</v>
      </c>
      <c r="C876" s="18">
        <v>45658</v>
      </c>
      <c r="D876" t="str">
        <f>"8572"</f>
        <v>8572</v>
      </c>
      <c r="E876" s="18">
        <v>45624</v>
      </c>
      <c r="F876" t="s">
        <v>1613</v>
      </c>
      <c r="G876" t="s">
        <v>247</v>
      </c>
      <c r="H876" t="s">
        <v>1614</v>
      </c>
      <c r="L876" s="35">
        <v>32640</v>
      </c>
    </row>
    <row r="877" spans="1:12" x14ac:dyDescent="0.25">
      <c r="A877">
        <v>0</v>
      </c>
      <c r="B877" t="s">
        <v>244</v>
      </c>
      <c r="C877" s="18">
        <v>45658</v>
      </c>
      <c r="D877" t="str">
        <f>"8573"</f>
        <v>8573</v>
      </c>
      <c r="E877" s="18">
        <v>45624</v>
      </c>
      <c r="G877" t="s">
        <v>247</v>
      </c>
      <c r="H877" t="s">
        <v>1615</v>
      </c>
      <c r="L877" s="35">
        <v>3000</v>
      </c>
    </row>
    <row r="878" spans="1:12" x14ac:dyDescent="0.25">
      <c r="A878">
        <v>0</v>
      </c>
      <c r="B878" t="s">
        <v>244</v>
      </c>
      <c r="C878" s="18">
        <v>45658</v>
      </c>
      <c r="D878" t="str">
        <f>"8574"</f>
        <v>8574</v>
      </c>
      <c r="E878" s="18">
        <v>45624</v>
      </c>
      <c r="G878" t="s">
        <v>247</v>
      </c>
      <c r="H878" t="s">
        <v>1616</v>
      </c>
      <c r="L878" s="35">
        <v>3000</v>
      </c>
    </row>
    <row r="879" spans="1:12" x14ac:dyDescent="0.25">
      <c r="A879">
        <v>0</v>
      </c>
      <c r="B879" t="s">
        <v>244</v>
      </c>
      <c r="C879" s="18">
        <v>45658</v>
      </c>
      <c r="D879" t="str">
        <f>"8575"</f>
        <v>8575</v>
      </c>
      <c r="E879" s="18">
        <v>45624</v>
      </c>
      <c r="G879" t="s">
        <v>247</v>
      </c>
      <c r="H879" t="s">
        <v>1617</v>
      </c>
      <c r="L879" s="35">
        <v>3000</v>
      </c>
    </row>
    <row r="880" spans="1:12" x14ac:dyDescent="0.25">
      <c r="A880">
        <v>0</v>
      </c>
      <c r="B880" t="s">
        <v>244</v>
      </c>
      <c r="C880" s="18">
        <v>45658</v>
      </c>
      <c r="D880" t="str">
        <f>"8576"</f>
        <v>8576</v>
      </c>
      <c r="E880" s="18">
        <v>45625</v>
      </c>
      <c r="G880" t="s">
        <v>247</v>
      </c>
      <c r="H880" t="s">
        <v>1618</v>
      </c>
      <c r="L880" s="35">
        <v>10800</v>
      </c>
    </row>
    <row r="881" spans="1:12" x14ac:dyDescent="0.25">
      <c r="A881">
        <v>0</v>
      </c>
      <c r="B881" t="s">
        <v>244</v>
      </c>
      <c r="C881" s="18">
        <v>45658</v>
      </c>
      <c r="D881" t="str">
        <f>"8577"</f>
        <v>8577</v>
      </c>
      <c r="E881" s="18">
        <v>45625</v>
      </c>
      <c r="G881" t="s">
        <v>247</v>
      </c>
      <c r="H881" t="s">
        <v>1619</v>
      </c>
      <c r="L881" s="35">
        <v>80307.55</v>
      </c>
    </row>
    <row r="882" spans="1:12" x14ac:dyDescent="0.25">
      <c r="A882">
        <v>0</v>
      </c>
      <c r="B882" t="s">
        <v>244</v>
      </c>
      <c r="C882" s="18">
        <v>45658</v>
      </c>
      <c r="D882" t="str">
        <f>"8578"</f>
        <v>8578</v>
      </c>
      <c r="E882" s="18">
        <v>45597</v>
      </c>
      <c r="F882" t="str">
        <f>"20875"</f>
        <v>20875</v>
      </c>
      <c r="G882" t="s">
        <v>247</v>
      </c>
      <c r="H882" t="s">
        <v>1620</v>
      </c>
      <c r="L882" s="35">
        <v>400</v>
      </c>
    </row>
    <row r="883" spans="1:12" x14ac:dyDescent="0.25">
      <c r="A883">
        <v>0</v>
      </c>
      <c r="B883" t="s">
        <v>244</v>
      </c>
      <c r="C883" s="18">
        <v>45658</v>
      </c>
      <c r="D883" t="str">
        <f>"8579"</f>
        <v>8579</v>
      </c>
      <c r="E883" s="18">
        <v>45628</v>
      </c>
      <c r="F883" t="s">
        <v>1621</v>
      </c>
      <c r="G883" t="s">
        <v>247</v>
      </c>
      <c r="H883" t="s">
        <v>1622</v>
      </c>
      <c r="L883" s="35">
        <v>232000</v>
      </c>
    </row>
    <row r="884" spans="1:12" x14ac:dyDescent="0.25">
      <c r="A884">
        <v>0</v>
      </c>
      <c r="B884" t="s">
        <v>244</v>
      </c>
      <c r="C884" s="18">
        <v>45658</v>
      </c>
      <c r="D884" t="str">
        <f>"8580"</f>
        <v>8580</v>
      </c>
      <c r="E884" s="18">
        <v>45628</v>
      </c>
      <c r="F884" t="s">
        <v>1623</v>
      </c>
      <c r="G884" t="s">
        <v>247</v>
      </c>
      <c r="H884" t="s">
        <v>1624</v>
      </c>
      <c r="L884" s="35">
        <v>49680</v>
      </c>
    </row>
    <row r="885" spans="1:12" x14ac:dyDescent="0.25">
      <c r="A885">
        <v>0</v>
      </c>
      <c r="B885" t="s">
        <v>244</v>
      </c>
      <c r="C885" s="18">
        <v>45658</v>
      </c>
      <c r="D885" t="str">
        <f>"8581"</f>
        <v>8581</v>
      </c>
      <c r="E885" s="18">
        <v>45628</v>
      </c>
      <c r="F885" t="str">
        <f>"000305"</f>
        <v>000305</v>
      </c>
      <c r="G885" t="s">
        <v>247</v>
      </c>
      <c r="H885" t="s">
        <v>1625</v>
      </c>
      <c r="L885" s="35">
        <v>220000</v>
      </c>
    </row>
    <row r="886" spans="1:12" x14ac:dyDescent="0.25">
      <c r="A886">
        <v>0</v>
      </c>
      <c r="B886" t="s">
        <v>244</v>
      </c>
      <c r="C886" s="18">
        <v>45658</v>
      </c>
      <c r="D886" t="str">
        <f>"8582"</f>
        <v>8582</v>
      </c>
      <c r="E886" s="18">
        <v>45628</v>
      </c>
      <c r="F886" t="str">
        <f>"202410121"</f>
        <v>202410121</v>
      </c>
      <c r="G886" t="s">
        <v>247</v>
      </c>
      <c r="H886" t="s">
        <v>1626</v>
      </c>
      <c r="L886" s="35">
        <v>160000</v>
      </c>
    </row>
    <row r="887" spans="1:12" x14ac:dyDescent="0.25">
      <c r="A887">
        <v>0</v>
      </c>
      <c r="B887" t="s">
        <v>244</v>
      </c>
      <c r="C887" s="18">
        <v>45658</v>
      </c>
      <c r="D887" t="str">
        <f>"8583"</f>
        <v>8583</v>
      </c>
      <c r="E887" s="18">
        <v>45628</v>
      </c>
      <c r="F887" t="s">
        <v>1627</v>
      </c>
      <c r="G887" t="s">
        <v>247</v>
      </c>
      <c r="H887" t="s">
        <v>1628</v>
      </c>
      <c r="L887" s="35">
        <v>117040</v>
      </c>
    </row>
    <row r="888" spans="1:12" x14ac:dyDescent="0.25">
      <c r="A888">
        <v>0</v>
      </c>
      <c r="B888" t="s">
        <v>244</v>
      </c>
      <c r="C888" s="18">
        <v>45658</v>
      </c>
      <c r="D888" t="str">
        <f>"8584"</f>
        <v>8584</v>
      </c>
      <c r="E888" s="18">
        <v>45628</v>
      </c>
      <c r="F888" t="s">
        <v>1629</v>
      </c>
      <c r="G888" t="s">
        <v>247</v>
      </c>
      <c r="H888" t="s">
        <v>1630</v>
      </c>
      <c r="L888" s="35">
        <v>10880</v>
      </c>
    </row>
    <row r="889" spans="1:12" x14ac:dyDescent="0.25">
      <c r="A889">
        <v>0</v>
      </c>
      <c r="B889" t="s">
        <v>244</v>
      </c>
      <c r="C889" s="18">
        <v>45658</v>
      </c>
      <c r="D889" t="str">
        <f>"8585"</f>
        <v>8585</v>
      </c>
      <c r="E889" s="18">
        <v>45628</v>
      </c>
      <c r="F889" t="s">
        <v>1631</v>
      </c>
      <c r="G889" t="s">
        <v>247</v>
      </c>
      <c r="H889" t="s">
        <v>1632</v>
      </c>
      <c r="L889" s="35">
        <v>112880</v>
      </c>
    </row>
    <row r="890" spans="1:12" x14ac:dyDescent="0.25">
      <c r="A890">
        <v>0</v>
      </c>
      <c r="B890" t="s">
        <v>244</v>
      </c>
      <c r="C890" s="18">
        <v>45658</v>
      </c>
      <c r="D890" t="str">
        <f>"8586"</f>
        <v>8586</v>
      </c>
      <c r="E890" s="18">
        <v>45629</v>
      </c>
      <c r="F890" t="str">
        <f>"21250"</f>
        <v>21250</v>
      </c>
      <c r="G890" t="s">
        <v>247</v>
      </c>
      <c r="H890" t="s">
        <v>1633</v>
      </c>
      <c r="L890" s="35">
        <v>154080</v>
      </c>
    </row>
    <row r="891" spans="1:12" x14ac:dyDescent="0.25">
      <c r="A891">
        <v>0</v>
      </c>
      <c r="B891" t="s">
        <v>244</v>
      </c>
      <c r="C891" s="18">
        <v>45658</v>
      </c>
      <c r="D891" t="str">
        <f>"8587"</f>
        <v>8587</v>
      </c>
      <c r="E891" s="18">
        <v>45629</v>
      </c>
      <c r="F891" t="s">
        <v>295</v>
      </c>
      <c r="G891" t="s">
        <v>247</v>
      </c>
      <c r="H891" t="s">
        <v>296</v>
      </c>
      <c r="L891" s="35">
        <v>100800</v>
      </c>
    </row>
    <row r="892" spans="1:12" x14ac:dyDescent="0.25">
      <c r="A892">
        <v>0</v>
      </c>
      <c r="B892" t="s">
        <v>244</v>
      </c>
      <c r="C892" s="18">
        <v>45658</v>
      </c>
      <c r="D892" t="str">
        <f>"8588"</f>
        <v>8588</v>
      </c>
      <c r="E892" s="18">
        <v>45630</v>
      </c>
      <c r="F892" t="str">
        <f>"21257"</f>
        <v>21257</v>
      </c>
      <c r="G892" t="s">
        <v>247</v>
      </c>
      <c r="H892" t="s">
        <v>1634</v>
      </c>
      <c r="L892" s="35">
        <v>80000</v>
      </c>
    </row>
    <row r="893" spans="1:12" x14ac:dyDescent="0.25">
      <c r="A893">
        <v>0</v>
      </c>
      <c r="B893" t="s">
        <v>244</v>
      </c>
      <c r="C893" s="18">
        <v>45658</v>
      </c>
      <c r="D893" t="str">
        <f>"8589"</f>
        <v>8589</v>
      </c>
      <c r="E893" s="18">
        <v>45630</v>
      </c>
      <c r="G893" t="s">
        <v>247</v>
      </c>
      <c r="H893" t="s">
        <v>1635</v>
      </c>
      <c r="L893" s="35">
        <v>9600</v>
      </c>
    </row>
    <row r="894" spans="1:12" x14ac:dyDescent="0.25">
      <c r="A894">
        <v>0</v>
      </c>
      <c r="B894" t="s">
        <v>244</v>
      </c>
      <c r="C894" s="18">
        <v>45658</v>
      </c>
      <c r="D894" t="str">
        <f>"8590"</f>
        <v>8590</v>
      </c>
      <c r="E894" s="18">
        <v>45630</v>
      </c>
      <c r="G894" t="s">
        <v>247</v>
      </c>
      <c r="H894" t="s">
        <v>1636</v>
      </c>
      <c r="L894" s="35">
        <v>9600</v>
      </c>
    </row>
    <row r="895" spans="1:12" x14ac:dyDescent="0.25">
      <c r="A895">
        <v>0</v>
      </c>
      <c r="B895" t="s">
        <v>244</v>
      </c>
      <c r="C895" s="18">
        <v>45658</v>
      </c>
      <c r="D895" t="str">
        <f>"8591"</f>
        <v>8591</v>
      </c>
      <c r="E895" s="18">
        <v>45630</v>
      </c>
      <c r="G895" t="s">
        <v>247</v>
      </c>
      <c r="H895" t="s">
        <v>1637</v>
      </c>
      <c r="L895" s="35">
        <v>9600</v>
      </c>
    </row>
    <row r="896" spans="1:12" x14ac:dyDescent="0.25">
      <c r="A896">
        <v>0</v>
      </c>
      <c r="B896" t="s">
        <v>244</v>
      </c>
      <c r="C896" s="18">
        <v>45658</v>
      </c>
      <c r="D896" t="str">
        <f>"8592"</f>
        <v>8592</v>
      </c>
      <c r="E896" s="18">
        <v>45631</v>
      </c>
      <c r="F896" t="str">
        <f>"21172"</f>
        <v>21172</v>
      </c>
      <c r="G896" t="s">
        <v>247</v>
      </c>
      <c r="H896" t="s">
        <v>1638</v>
      </c>
      <c r="L896" s="35">
        <v>1000000</v>
      </c>
    </row>
    <row r="897" spans="1:12" x14ac:dyDescent="0.25">
      <c r="A897">
        <v>0</v>
      </c>
      <c r="B897" t="s">
        <v>244</v>
      </c>
      <c r="C897" s="18">
        <v>45658</v>
      </c>
      <c r="D897" t="str">
        <f>"8593"</f>
        <v>8593</v>
      </c>
      <c r="E897" s="18">
        <v>45631</v>
      </c>
      <c r="F897" t="str">
        <f>"21271"</f>
        <v>21271</v>
      </c>
      <c r="G897" t="s">
        <v>247</v>
      </c>
      <c r="H897" t="s">
        <v>1639</v>
      </c>
      <c r="L897" s="35">
        <v>65040</v>
      </c>
    </row>
    <row r="898" spans="1:12" x14ac:dyDescent="0.25">
      <c r="A898">
        <v>0</v>
      </c>
      <c r="B898" t="s">
        <v>244</v>
      </c>
      <c r="C898" s="18">
        <v>45658</v>
      </c>
      <c r="D898" t="str">
        <f>"8594"</f>
        <v>8594</v>
      </c>
      <c r="E898" s="18">
        <v>45631</v>
      </c>
      <c r="F898" t="str">
        <f>"21272"</f>
        <v>21272</v>
      </c>
      <c r="G898" t="s">
        <v>247</v>
      </c>
      <c r="H898" t="s">
        <v>1640</v>
      </c>
      <c r="L898" s="35">
        <v>280000</v>
      </c>
    </row>
    <row r="899" spans="1:12" x14ac:dyDescent="0.25">
      <c r="A899">
        <v>0</v>
      </c>
      <c r="B899" t="s">
        <v>244</v>
      </c>
      <c r="C899" s="18">
        <v>45658</v>
      </c>
      <c r="D899" t="str">
        <f>"8595"</f>
        <v>8595</v>
      </c>
      <c r="E899" s="18">
        <v>45631</v>
      </c>
      <c r="F899" t="str">
        <f>"252045"</f>
        <v>252045</v>
      </c>
      <c r="G899" t="s">
        <v>247</v>
      </c>
      <c r="H899" t="s">
        <v>1641</v>
      </c>
      <c r="L899" s="35">
        <v>26080</v>
      </c>
    </row>
    <row r="900" spans="1:12" x14ac:dyDescent="0.25">
      <c r="A900">
        <v>0</v>
      </c>
      <c r="B900" t="s">
        <v>244</v>
      </c>
      <c r="C900" s="18">
        <v>45658</v>
      </c>
      <c r="D900" t="str">
        <f>"8596"</f>
        <v>8596</v>
      </c>
      <c r="E900" s="18">
        <v>45631</v>
      </c>
      <c r="F900" t="s">
        <v>1642</v>
      </c>
      <c r="G900" t="s">
        <v>247</v>
      </c>
      <c r="H900" t="s">
        <v>1643</v>
      </c>
      <c r="L900" s="35">
        <v>120000</v>
      </c>
    </row>
    <row r="901" spans="1:12" x14ac:dyDescent="0.25">
      <c r="A901">
        <v>0</v>
      </c>
      <c r="B901" t="s">
        <v>244</v>
      </c>
      <c r="C901" s="18">
        <v>45658</v>
      </c>
      <c r="D901" t="str">
        <f>"8597"</f>
        <v>8597</v>
      </c>
      <c r="E901" s="18">
        <v>45633</v>
      </c>
      <c r="F901" t="str">
        <f>"18052024"</f>
        <v>18052024</v>
      </c>
      <c r="G901" t="s">
        <v>247</v>
      </c>
      <c r="H901" t="s">
        <v>1644</v>
      </c>
      <c r="L901" s="35">
        <v>56000</v>
      </c>
    </row>
    <row r="902" spans="1:12" x14ac:dyDescent="0.25">
      <c r="A902">
        <v>0</v>
      </c>
      <c r="B902" t="s">
        <v>244</v>
      </c>
      <c r="C902" s="18">
        <v>45658</v>
      </c>
      <c r="D902" t="str">
        <f>"8598"</f>
        <v>8598</v>
      </c>
      <c r="E902" s="18">
        <v>45637</v>
      </c>
      <c r="F902" t="s">
        <v>1645</v>
      </c>
      <c r="G902" t="s">
        <v>247</v>
      </c>
      <c r="H902" t="s">
        <v>1646</v>
      </c>
      <c r="L902" s="35">
        <v>96000</v>
      </c>
    </row>
    <row r="903" spans="1:12" x14ac:dyDescent="0.25">
      <c r="A903">
        <v>0</v>
      </c>
      <c r="B903" t="s">
        <v>244</v>
      </c>
      <c r="C903" s="18">
        <v>45658</v>
      </c>
      <c r="D903" t="str">
        <f>"8599"</f>
        <v>8599</v>
      </c>
      <c r="E903" s="18">
        <v>45638</v>
      </c>
      <c r="F903" t="s">
        <v>1647</v>
      </c>
      <c r="G903" t="s">
        <v>247</v>
      </c>
      <c r="H903" t="s">
        <v>1648</v>
      </c>
      <c r="L903" s="35">
        <v>883860</v>
      </c>
    </row>
    <row r="904" spans="1:12" x14ac:dyDescent="0.25">
      <c r="A904">
        <v>0</v>
      </c>
      <c r="B904" t="s">
        <v>244</v>
      </c>
      <c r="C904" s="18">
        <v>45658</v>
      </c>
      <c r="D904" t="str">
        <f>"8600"</f>
        <v>8600</v>
      </c>
      <c r="E904" s="18">
        <v>45638</v>
      </c>
      <c r="G904" t="s">
        <v>247</v>
      </c>
      <c r="H904" t="s">
        <v>1649</v>
      </c>
      <c r="L904" s="35">
        <v>3000</v>
      </c>
    </row>
    <row r="905" spans="1:12" x14ac:dyDescent="0.25">
      <c r="A905">
        <v>0</v>
      </c>
      <c r="B905" t="s">
        <v>244</v>
      </c>
      <c r="C905" s="18">
        <v>45658</v>
      </c>
      <c r="D905" t="str">
        <f>"8601"</f>
        <v>8601</v>
      </c>
      <c r="E905" s="18">
        <v>45638</v>
      </c>
      <c r="G905" t="s">
        <v>247</v>
      </c>
      <c r="H905" t="s">
        <v>1650</v>
      </c>
      <c r="L905" s="35">
        <v>3000</v>
      </c>
    </row>
    <row r="906" spans="1:12" x14ac:dyDescent="0.25">
      <c r="A906">
        <v>0</v>
      </c>
      <c r="B906" t="s">
        <v>244</v>
      </c>
      <c r="C906" s="18">
        <v>45658</v>
      </c>
      <c r="D906" t="str">
        <f>"8602"</f>
        <v>8602</v>
      </c>
      <c r="E906" s="18">
        <v>45638</v>
      </c>
      <c r="G906" t="s">
        <v>247</v>
      </c>
      <c r="H906" t="s">
        <v>1651</v>
      </c>
      <c r="L906" s="35">
        <v>3000</v>
      </c>
    </row>
    <row r="907" spans="1:12" x14ac:dyDescent="0.25">
      <c r="A907">
        <v>0</v>
      </c>
      <c r="B907" t="s">
        <v>244</v>
      </c>
      <c r="C907" s="18">
        <v>45658</v>
      </c>
      <c r="D907" t="str">
        <f>"8603"</f>
        <v>8603</v>
      </c>
      <c r="E907" s="18">
        <v>45638</v>
      </c>
      <c r="G907" t="s">
        <v>247</v>
      </c>
      <c r="H907" t="s">
        <v>1652</v>
      </c>
      <c r="L907" s="35">
        <v>3000</v>
      </c>
    </row>
    <row r="908" spans="1:12" x14ac:dyDescent="0.25">
      <c r="A908">
        <v>0</v>
      </c>
      <c r="B908" t="s">
        <v>244</v>
      </c>
      <c r="C908" s="18">
        <v>45658</v>
      </c>
      <c r="D908" t="str">
        <f>"8604"</f>
        <v>8604</v>
      </c>
      <c r="E908" s="18">
        <v>45638</v>
      </c>
      <c r="G908" t="s">
        <v>247</v>
      </c>
      <c r="H908" t="s">
        <v>1653</v>
      </c>
      <c r="L908" s="35">
        <v>9600</v>
      </c>
    </row>
    <row r="909" spans="1:12" x14ac:dyDescent="0.25">
      <c r="A909">
        <v>0</v>
      </c>
      <c r="B909" t="s">
        <v>244</v>
      </c>
      <c r="C909" s="18">
        <v>45658</v>
      </c>
      <c r="D909" t="str">
        <f>"8605"</f>
        <v>8605</v>
      </c>
      <c r="E909" s="18">
        <v>45638</v>
      </c>
      <c r="G909" t="s">
        <v>247</v>
      </c>
      <c r="H909" t="s">
        <v>1654</v>
      </c>
      <c r="L909" s="35">
        <v>9600</v>
      </c>
    </row>
    <row r="910" spans="1:12" x14ac:dyDescent="0.25">
      <c r="A910">
        <v>0</v>
      </c>
      <c r="B910" t="s">
        <v>244</v>
      </c>
      <c r="C910" s="18">
        <v>45658</v>
      </c>
      <c r="D910" t="str">
        <f>"8606"</f>
        <v>8606</v>
      </c>
      <c r="E910" s="18">
        <v>45639</v>
      </c>
      <c r="F910" t="str">
        <f>"21362"</f>
        <v>21362</v>
      </c>
      <c r="G910" t="s">
        <v>247</v>
      </c>
      <c r="H910" t="s">
        <v>1655</v>
      </c>
      <c r="L910" s="35">
        <v>28000</v>
      </c>
    </row>
    <row r="911" spans="1:12" x14ac:dyDescent="0.25">
      <c r="A911">
        <v>0</v>
      </c>
      <c r="B911" t="s">
        <v>244</v>
      </c>
      <c r="C911" s="18">
        <v>45658</v>
      </c>
      <c r="D911" t="str">
        <f>"8607"</f>
        <v>8607</v>
      </c>
      <c r="E911" s="18">
        <v>45639</v>
      </c>
      <c r="F911" t="str">
        <f>"21375"</f>
        <v>21375</v>
      </c>
      <c r="G911" t="s">
        <v>247</v>
      </c>
      <c r="H911" t="s">
        <v>1656</v>
      </c>
      <c r="L911" s="35">
        <v>862000</v>
      </c>
    </row>
    <row r="912" spans="1:12" x14ac:dyDescent="0.25">
      <c r="A912">
        <v>0</v>
      </c>
      <c r="B912" t="s">
        <v>244</v>
      </c>
      <c r="C912" s="18">
        <v>45658</v>
      </c>
      <c r="D912" t="str">
        <f>"8608"</f>
        <v>8608</v>
      </c>
      <c r="E912" s="18">
        <v>45639</v>
      </c>
      <c r="F912" t="s">
        <v>1657</v>
      </c>
      <c r="G912" t="s">
        <v>247</v>
      </c>
      <c r="H912" t="s">
        <v>1643</v>
      </c>
      <c r="L912" s="35">
        <v>304000</v>
      </c>
    </row>
    <row r="913" spans="1:12" x14ac:dyDescent="0.25">
      <c r="A913">
        <v>0</v>
      </c>
      <c r="B913" t="s">
        <v>244</v>
      </c>
      <c r="C913" s="18">
        <v>45658</v>
      </c>
      <c r="D913" t="str">
        <f>"8609"</f>
        <v>8609</v>
      </c>
      <c r="E913" s="18">
        <v>45649</v>
      </c>
      <c r="G913" t="s">
        <v>247</v>
      </c>
      <c r="H913" t="s">
        <v>1658</v>
      </c>
      <c r="L913" s="35">
        <v>3000</v>
      </c>
    </row>
    <row r="914" spans="1:12" x14ac:dyDescent="0.25">
      <c r="A914">
        <v>0</v>
      </c>
      <c r="B914" t="s">
        <v>244</v>
      </c>
      <c r="C914" s="18">
        <v>45658</v>
      </c>
      <c r="D914" t="str">
        <f>"8610"</f>
        <v>8610</v>
      </c>
      <c r="E914" s="18">
        <v>45649</v>
      </c>
      <c r="G914" t="s">
        <v>247</v>
      </c>
      <c r="H914" t="s">
        <v>1659</v>
      </c>
      <c r="L914" s="35">
        <v>9600</v>
      </c>
    </row>
    <row r="915" spans="1:12" x14ac:dyDescent="0.25">
      <c r="A915">
        <v>0</v>
      </c>
      <c r="B915" t="s">
        <v>244</v>
      </c>
      <c r="C915" s="18">
        <v>45658</v>
      </c>
      <c r="D915" t="str">
        <f>"8611"</f>
        <v>8611</v>
      </c>
      <c r="E915" s="18">
        <v>45649</v>
      </c>
      <c r="G915" t="s">
        <v>247</v>
      </c>
      <c r="H915" t="s">
        <v>1660</v>
      </c>
      <c r="L915" s="35">
        <v>9600</v>
      </c>
    </row>
    <row r="916" spans="1:12" x14ac:dyDescent="0.25">
      <c r="A916">
        <v>0</v>
      </c>
      <c r="B916" t="s">
        <v>244</v>
      </c>
      <c r="C916" s="18">
        <v>45658</v>
      </c>
      <c r="D916" t="str">
        <f>"8612"</f>
        <v>8612</v>
      </c>
      <c r="E916" s="18">
        <v>45657</v>
      </c>
      <c r="G916" t="s">
        <v>247</v>
      </c>
      <c r="H916" t="s">
        <v>1661</v>
      </c>
      <c r="L916" s="35">
        <v>10800</v>
      </c>
    </row>
    <row r="917" spans="1:12" x14ac:dyDescent="0.25">
      <c r="A917">
        <v>0</v>
      </c>
      <c r="B917" t="s">
        <v>244</v>
      </c>
      <c r="C917" s="18">
        <v>45658</v>
      </c>
      <c r="D917" t="str">
        <f>"8613"</f>
        <v>8613</v>
      </c>
      <c r="E917" s="18">
        <v>45657</v>
      </c>
      <c r="G917" t="s">
        <v>247</v>
      </c>
      <c r="H917" t="s">
        <v>1662</v>
      </c>
      <c r="L917" s="35">
        <v>13762.18</v>
      </c>
    </row>
    <row r="918" spans="1:12" x14ac:dyDescent="0.25">
      <c r="A918">
        <v>0</v>
      </c>
      <c r="B918" t="s">
        <v>250</v>
      </c>
      <c r="C918" s="18">
        <v>45869</v>
      </c>
      <c r="D918" t="str">
        <f>"8771"</f>
        <v>8771</v>
      </c>
      <c r="E918" s="18">
        <v>45869</v>
      </c>
      <c r="F918" t="s">
        <v>1663</v>
      </c>
      <c r="G918" t="s">
        <v>247</v>
      </c>
      <c r="H918" t="s">
        <v>1664</v>
      </c>
      <c r="L918" s="35">
        <v>148800</v>
      </c>
    </row>
    <row r="919" spans="1:12" x14ac:dyDescent="0.25">
      <c r="A919">
        <v>0</v>
      </c>
      <c r="B919" t="s">
        <v>250</v>
      </c>
      <c r="C919" s="18">
        <v>45869</v>
      </c>
      <c r="D919" t="str">
        <f>"8771"</f>
        <v>8771</v>
      </c>
      <c r="E919" s="18">
        <v>45869</v>
      </c>
      <c r="F919" t="str">
        <f>"2719"</f>
        <v>2719</v>
      </c>
      <c r="G919" t="s">
        <v>247</v>
      </c>
      <c r="H919" t="s">
        <v>1665</v>
      </c>
      <c r="L919" s="35">
        <v>480000</v>
      </c>
    </row>
    <row r="920" spans="1:12" x14ac:dyDescent="0.25">
      <c r="A920">
        <v>0</v>
      </c>
      <c r="B920" t="s">
        <v>250</v>
      </c>
      <c r="C920" s="18">
        <v>45869</v>
      </c>
      <c r="D920" t="str">
        <f>"8771"</f>
        <v>8771</v>
      </c>
      <c r="E920" s="18">
        <v>45869</v>
      </c>
      <c r="F920" t="str">
        <f>"03012"</f>
        <v>03012</v>
      </c>
      <c r="G920" t="s">
        <v>247</v>
      </c>
      <c r="H920" t="s">
        <v>1666</v>
      </c>
      <c r="L920" s="35">
        <v>576000</v>
      </c>
    </row>
    <row r="921" spans="1:12" x14ac:dyDescent="0.25">
      <c r="A921">
        <v>0</v>
      </c>
      <c r="B921" t="s">
        <v>250</v>
      </c>
      <c r="C921" s="18">
        <v>45869</v>
      </c>
      <c r="D921" t="str">
        <f>"8771"</f>
        <v>8771</v>
      </c>
      <c r="E921" s="18">
        <v>45869</v>
      </c>
      <c r="F921" t="str">
        <f>"250779"</f>
        <v>250779</v>
      </c>
      <c r="G921" t="s">
        <v>247</v>
      </c>
      <c r="H921" t="s">
        <v>1667</v>
      </c>
      <c r="L921" s="35">
        <v>15360</v>
      </c>
    </row>
    <row r="922" spans="1:12" x14ac:dyDescent="0.25">
      <c r="A922">
        <v>0</v>
      </c>
      <c r="B922" t="s">
        <v>250</v>
      </c>
      <c r="C922" s="18">
        <v>45900</v>
      </c>
      <c r="D922" t="str">
        <f>"8772"</f>
        <v>8772</v>
      </c>
      <c r="E922" s="18">
        <v>45900</v>
      </c>
      <c r="F922" t="s">
        <v>1668</v>
      </c>
      <c r="G922" t="s">
        <v>247</v>
      </c>
      <c r="H922" t="s">
        <v>1669</v>
      </c>
      <c r="L922" s="35">
        <v>33760</v>
      </c>
    </row>
    <row r="923" spans="1:12" x14ac:dyDescent="0.25">
      <c r="A923">
        <v>0</v>
      </c>
      <c r="B923" t="s">
        <v>250</v>
      </c>
      <c r="C923" s="18">
        <v>45869</v>
      </c>
      <c r="D923" t="str">
        <f t="shared" ref="D923:D930" si="9">"8773"</f>
        <v>8773</v>
      </c>
      <c r="E923" s="18">
        <v>45869</v>
      </c>
      <c r="F923" t="s">
        <v>1670</v>
      </c>
      <c r="G923" t="s">
        <v>247</v>
      </c>
      <c r="H923" t="s">
        <v>1671</v>
      </c>
      <c r="L923" s="35">
        <v>72000</v>
      </c>
    </row>
    <row r="924" spans="1:12" x14ac:dyDescent="0.25">
      <c r="A924">
        <v>0</v>
      </c>
      <c r="B924" t="s">
        <v>250</v>
      </c>
      <c r="C924" s="18">
        <v>45869</v>
      </c>
      <c r="D924" t="str">
        <f t="shared" si="9"/>
        <v>8773</v>
      </c>
      <c r="E924" s="18">
        <v>45869</v>
      </c>
      <c r="F924" s="33">
        <v>45782</v>
      </c>
      <c r="G924" t="s">
        <v>247</v>
      </c>
      <c r="H924" t="s">
        <v>1672</v>
      </c>
      <c r="L924" s="35">
        <v>41600</v>
      </c>
    </row>
    <row r="925" spans="1:12" x14ac:dyDescent="0.25">
      <c r="A925">
        <v>0</v>
      </c>
      <c r="B925" t="s">
        <v>250</v>
      </c>
      <c r="C925" s="18">
        <v>45869</v>
      </c>
      <c r="D925" t="str">
        <f t="shared" si="9"/>
        <v>8773</v>
      </c>
      <c r="E925" s="18">
        <v>45869</v>
      </c>
      <c r="F925" t="s">
        <v>1673</v>
      </c>
      <c r="G925" t="s">
        <v>247</v>
      </c>
      <c r="H925" t="s">
        <v>1674</v>
      </c>
      <c r="L925" s="35">
        <v>88000</v>
      </c>
    </row>
    <row r="926" spans="1:12" x14ac:dyDescent="0.25">
      <c r="A926">
        <v>0</v>
      </c>
      <c r="B926" t="s">
        <v>250</v>
      </c>
      <c r="C926" s="18">
        <v>45869</v>
      </c>
      <c r="D926" t="str">
        <f t="shared" si="9"/>
        <v>8773</v>
      </c>
      <c r="E926" s="18">
        <v>45869</v>
      </c>
      <c r="F926" t="s">
        <v>1675</v>
      </c>
      <c r="G926" t="s">
        <v>247</v>
      </c>
      <c r="H926" t="s">
        <v>1676</v>
      </c>
      <c r="L926" s="35">
        <v>260000</v>
      </c>
    </row>
    <row r="927" spans="1:12" x14ac:dyDescent="0.25">
      <c r="A927">
        <v>0</v>
      </c>
      <c r="B927" t="s">
        <v>250</v>
      </c>
      <c r="C927" s="18">
        <v>45869</v>
      </c>
      <c r="D927" t="str">
        <f t="shared" si="9"/>
        <v>8773</v>
      </c>
      <c r="E927" s="18">
        <v>45869</v>
      </c>
      <c r="F927" t="s">
        <v>1677</v>
      </c>
      <c r="G927" t="s">
        <v>247</v>
      </c>
      <c r="H927" t="s">
        <v>1678</v>
      </c>
      <c r="L927" s="35">
        <v>960900</v>
      </c>
    </row>
    <row r="928" spans="1:12" x14ac:dyDescent="0.25">
      <c r="A928">
        <v>0</v>
      </c>
      <c r="B928" t="s">
        <v>250</v>
      </c>
      <c r="C928" s="18">
        <v>45869</v>
      </c>
      <c r="D928" t="str">
        <f t="shared" si="9"/>
        <v>8773</v>
      </c>
      <c r="E928" s="18">
        <v>45869</v>
      </c>
      <c r="F928" t="s">
        <v>1679</v>
      </c>
      <c r="G928" t="s">
        <v>247</v>
      </c>
      <c r="H928" t="s">
        <v>1680</v>
      </c>
      <c r="L928" s="35">
        <v>64000</v>
      </c>
    </row>
    <row r="929" spans="1:12" x14ac:dyDescent="0.25">
      <c r="A929">
        <v>0</v>
      </c>
      <c r="B929" t="s">
        <v>250</v>
      </c>
      <c r="C929" s="18">
        <v>45869</v>
      </c>
      <c r="D929" t="str">
        <f t="shared" si="9"/>
        <v>8773</v>
      </c>
      <c r="E929" s="18">
        <v>45869</v>
      </c>
      <c r="F929" t="s">
        <v>1681</v>
      </c>
      <c r="G929" t="s">
        <v>247</v>
      </c>
      <c r="H929" t="s">
        <v>1682</v>
      </c>
      <c r="L929" s="35">
        <v>256000</v>
      </c>
    </row>
    <row r="930" spans="1:12" x14ac:dyDescent="0.25">
      <c r="A930">
        <v>0</v>
      </c>
      <c r="B930" t="s">
        <v>250</v>
      </c>
      <c r="C930" s="18">
        <v>45869</v>
      </c>
      <c r="D930" t="str">
        <f t="shared" si="9"/>
        <v>8773</v>
      </c>
      <c r="E930" s="18">
        <v>45869</v>
      </c>
      <c r="F930" t="str">
        <f>"18506"</f>
        <v>18506</v>
      </c>
      <c r="G930" t="s">
        <v>247</v>
      </c>
      <c r="H930" t="s">
        <v>1683</v>
      </c>
      <c r="L930" s="35">
        <v>504000</v>
      </c>
    </row>
    <row r="931" spans="1:12" x14ac:dyDescent="0.25">
      <c r="A931">
        <v>0</v>
      </c>
      <c r="B931" t="s">
        <v>250</v>
      </c>
      <c r="C931" s="18">
        <v>45900</v>
      </c>
      <c r="D931" t="str">
        <f>"8924"</f>
        <v>8924</v>
      </c>
      <c r="E931" s="18">
        <v>45900</v>
      </c>
      <c r="F931" t="str">
        <f>"8433"</f>
        <v>8433</v>
      </c>
      <c r="G931" t="s">
        <v>247</v>
      </c>
      <c r="H931" t="s">
        <v>1684</v>
      </c>
      <c r="L931" s="35">
        <v>47440</v>
      </c>
    </row>
    <row r="932" spans="1:12" x14ac:dyDescent="0.25">
      <c r="A932">
        <v>0</v>
      </c>
      <c r="B932" t="s">
        <v>250</v>
      </c>
      <c r="C932" s="18">
        <v>45900</v>
      </c>
      <c r="D932" t="str">
        <f>"8924"</f>
        <v>8924</v>
      </c>
      <c r="E932" s="18">
        <v>45900</v>
      </c>
      <c r="F932" s="18">
        <v>45811</v>
      </c>
      <c r="G932" t="s">
        <v>247</v>
      </c>
      <c r="H932" t="s">
        <v>1685</v>
      </c>
      <c r="L932" s="35">
        <v>175680</v>
      </c>
    </row>
    <row r="933" spans="1:12" x14ac:dyDescent="0.25">
      <c r="A933">
        <v>0</v>
      </c>
      <c r="B933" t="s">
        <v>250</v>
      </c>
      <c r="C933" s="18">
        <v>45900</v>
      </c>
      <c r="D933" t="str">
        <f>"8924"</f>
        <v>8924</v>
      </c>
      <c r="E933" s="18">
        <v>45900</v>
      </c>
      <c r="F933" t="s">
        <v>1686</v>
      </c>
      <c r="G933" t="s">
        <v>247</v>
      </c>
      <c r="H933" t="s">
        <v>1687</v>
      </c>
      <c r="L933" s="35">
        <v>80400</v>
      </c>
    </row>
    <row r="934" spans="1:12" x14ac:dyDescent="0.25">
      <c r="A934">
        <v>0</v>
      </c>
      <c r="B934" t="s">
        <v>250</v>
      </c>
      <c r="C934" s="18">
        <v>45869</v>
      </c>
      <c r="D934" t="str">
        <f>"9140"</f>
        <v>9140</v>
      </c>
      <c r="E934" s="18">
        <v>45869</v>
      </c>
      <c r="F934" t="str">
        <f>"352572"</f>
        <v>352572</v>
      </c>
      <c r="G934" t="s">
        <v>247</v>
      </c>
      <c r="H934" t="s">
        <v>1688</v>
      </c>
      <c r="L934" s="35">
        <v>2265600</v>
      </c>
    </row>
    <row r="935" spans="1:12" x14ac:dyDescent="0.25">
      <c r="A935">
        <v>0</v>
      </c>
      <c r="B935" t="s">
        <v>250</v>
      </c>
      <c r="C935" s="18">
        <v>45869</v>
      </c>
      <c r="D935" t="str">
        <f>"9148"</f>
        <v>9148</v>
      </c>
      <c r="E935" s="18">
        <v>45869</v>
      </c>
      <c r="F935" t="str">
        <f>"202505115"</f>
        <v>202505115</v>
      </c>
      <c r="G935" t="s">
        <v>247</v>
      </c>
      <c r="H935" t="s">
        <v>1689</v>
      </c>
      <c r="L935" s="35">
        <v>112000</v>
      </c>
    </row>
    <row r="936" spans="1:12" x14ac:dyDescent="0.25">
      <c r="A936">
        <v>0</v>
      </c>
      <c r="B936" t="s">
        <v>250</v>
      </c>
      <c r="C936" s="18">
        <v>45900</v>
      </c>
      <c r="D936" t="str">
        <f>"9293"</f>
        <v>9293</v>
      </c>
      <c r="E936" s="18">
        <v>45900</v>
      </c>
      <c r="F936" t="s">
        <v>1690</v>
      </c>
      <c r="G936" t="s">
        <v>247</v>
      </c>
      <c r="H936" t="s">
        <v>1691</v>
      </c>
      <c r="L936" s="35">
        <v>526400</v>
      </c>
    </row>
    <row r="937" spans="1:12" x14ac:dyDescent="0.25">
      <c r="A937">
        <v>0</v>
      </c>
      <c r="B937" t="s">
        <v>250</v>
      </c>
      <c r="C937" s="18">
        <v>45900</v>
      </c>
      <c r="D937" t="str">
        <f>"9390"</f>
        <v>9390</v>
      </c>
      <c r="E937" s="18">
        <v>45900</v>
      </c>
      <c r="F937" t="s">
        <v>635</v>
      </c>
      <c r="G937" t="s">
        <v>247</v>
      </c>
      <c r="H937" t="s">
        <v>1692</v>
      </c>
      <c r="L937" s="35">
        <v>39520</v>
      </c>
    </row>
    <row r="938" spans="1:12" x14ac:dyDescent="0.25">
      <c r="A938">
        <v>0</v>
      </c>
      <c r="B938" t="s">
        <v>250</v>
      </c>
      <c r="C938" s="18">
        <v>45900</v>
      </c>
      <c r="D938" t="str">
        <f>"9390"</f>
        <v>9390</v>
      </c>
      <c r="E938" s="18">
        <v>45900</v>
      </c>
      <c r="F938" t="str">
        <f>"826"</f>
        <v>826</v>
      </c>
      <c r="G938" t="s">
        <v>247</v>
      </c>
      <c r="H938" t="s">
        <v>1693</v>
      </c>
      <c r="L938" s="35">
        <v>482000</v>
      </c>
    </row>
    <row r="939" spans="1:12" x14ac:dyDescent="0.25">
      <c r="A939">
        <v>0</v>
      </c>
      <c r="B939" t="s">
        <v>337</v>
      </c>
      <c r="C939" s="18">
        <v>45898</v>
      </c>
      <c r="D939" t="str">
        <f>"9460"</f>
        <v>9460</v>
      </c>
      <c r="E939" s="18">
        <v>45898</v>
      </c>
      <c r="G939" t="s">
        <v>247</v>
      </c>
      <c r="H939" t="s">
        <v>1694</v>
      </c>
      <c r="L939" s="35">
        <v>13740.19</v>
      </c>
    </row>
    <row r="940" spans="1:12" x14ac:dyDescent="0.25">
      <c r="A940">
        <v>0</v>
      </c>
      <c r="B940" t="s">
        <v>337</v>
      </c>
      <c r="C940" s="18">
        <v>45898</v>
      </c>
      <c r="D940" t="str">
        <f>"9462"</f>
        <v>9462</v>
      </c>
      <c r="E940" s="18">
        <v>45898</v>
      </c>
      <c r="G940" t="s">
        <v>247</v>
      </c>
      <c r="H940" t="s">
        <v>1695</v>
      </c>
      <c r="L940" s="35">
        <v>10800</v>
      </c>
    </row>
    <row r="941" spans="1:12" x14ac:dyDescent="0.25">
      <c r="A941">
        <v>0</v>
      </c>
      <c r="B941" t="s">
        <v>337</v>
      </c>
      <c r="C941" s="18">
        <v>45873</v>
      </c>
      <c r="D941" t="str">
        <f>"9463"</f>
        <v>9463</v>
      </c>
      <c r="E941" s="18">
        <v>45873</v>
      </c>
      <c r="G941" t="s">
        <v>247</v>
      </c>
      <c r="H941" t="s">
        <v>1696</v>
      </c>
      <c r="L941" s="35">
        <v>3000</v>
      </c>
    </row>
    <row r="942" spans="1:12" x14ac:dyDescent="0.25">
      <c r="A942">
        <v>0</v>
      </c>
      <c r="B942" t="s">
        <v>337</v>
      </c>
      <c r="C942" s="18">
        <v>45880</v>
      </c>
      <c r="D942" t="str">
        <f>"9464"</f>
        <v>9464</v>
      </c>
      <c r="E942" s="18">
        <v>45880</v>
      </c>
      <c r="G942" t="s">
        <v>247</v>
      </c>
      <c r="H942" t="s">
        <v>1697</v>
      </c>
      <c r="L942" s="35">
        <v>9600</v>
      </c>
    </row>
    <row r="943" spans="1:12" x14ac:dyDescent="0.25">
      <c r="A943">
        <v>0</v>
      </c>
      <c r="B943" t="s">
        <v>337</v>
      </c>
      <c r="C943" s="18">
        <v>45894</v>
      </c>
      <c r="D943" t="str">
        <f>"9465"</f>
        <v>9465</v>
      </c>
      <c r="E943" s="18">
        <v>45894</v>
      </c>
      <c r="G943" t="s">
        <v>247</v>
      </c>
      <c r="H943" t="s">
        <v>1698</v>
      </c>
      <c r="L943" s="35">
        <v>9600</v>
      </c>
    </row>
    <row r="944" spans="1:12" x14ac:dyDescent="0.25">
      <c r="A944">
        <v>0</v>
      </c>
      <c r="B944" t="s">
        <v>248</v>
      </c>
      <c r="C944" s="18">
        <v>45903</v>
      </c>
      <c r="D944" t="str">
        <f>"9670"</f>
        <v>9670</v>
      </c>
      <c r="F944" t="s">
        <v>1699</v>
      </c>
      <c r="G944" t="s">
        <v>247</v>
      </c>
      <c r="H944" t="s">
        <v>1700</v>
      </c>
      <c r="L944" s="35">
        <v>2249924.4</v>
      </c>
    </row>
    <row r="945" spans="1:12" x14ac:dyDescent="0.25">
      <c r="A945">
        <v>0</v>
      </c>
      <c r="B945" t="s">
        <v>250</v>
      </c>
      <c r="C945" s="18">
        <v>45930</v>
      </c>
      <c r="D945" t="str">
        <f>"9717"</f>
        <v>9717</v>
      </c>
      <c r="E945" s="18">
        <v>45930</v>
      </c>
      <c r="F945" t="s">
        <v>1701</v>
      </c>
      <c r="G945" t="s">
        <v>247</v>
      </c>
      <c r="H945" t="s">
        <v>1702</v>
      </c>
      <c r="L945" s="35">
        <v>154080</v>
      </c>
    </row>
    <row r="946" spans="1:12" x14ac:dyDescent="0.25">
      <c r="A946">
        <v>0</v>
      </c>
      <c r="B946" t="s">
        <v>250</v>
      </c>
      <c r="C946" s="18">
        <v>45930</v>
      </c>
      <c r="D946" t="str">
        <f>"9717"</f>
        <v>9717</v>
      </c>
      <c r="E946" s="18">
        <v>45930</v>
      </c>
      <c r="F946" t="s">
        <v>1703</v>
      </c>
      <c r="G946" t="s">
        <v>247</v>
      </c>
      <c r="H946" t="s">
        <v>1704</v>
      </c>
      <c r="L946" s="35">
        <v>840000</v>
      </c>
    </row>
    <row r="947" spans="1:12" x14ac:dyDescent="0.25">
      <c r="A947">
        <v>0</v>
      </c>
      <c r="B947" t="s">
        <v>250</v>
      </c>
      <c r="C947" s="18">
        <v>45905</v>
      </c>
      <c r="D947" t="str">
        <f>"9882"</f>
        <v>9882</v>
      </c>
      <c r="E947" s="18">
        <v>45905</v>
      </c>
      <c r="F947" t="str">
        <f>"25532"</f>
        <v>25532</v>
      </c>
      <c r="G947" t="s">
        <v>247</v>
      </c>
      <c r="H947" t="s">
        <v>1705</v>
      </c>
      <c r="L947" s="35">
        <v>186816</v>
      </c>
    </row>
    <row r="948" spans="1:12" x14ac:dyDescent="0.25">
      <c r="A948">
        <v>0</v>
      </c>
      <c r="B948" t="s">
        <v>407</v>
      </c>
      <c r="C948" s="18">
        <v>45910</v>
      </c>
      <c r="D948" t="str">
        <f>"9899"</f>
        <v>9899</v>
      </c>
      <c r="E948" s="18">
        <v>45910</v>
      </c>
      <c r="F948" t="str">
        <f>"25532"</f>
        <v>25532</v>
      </c>
      <c r="G948" t="s">
        <v>247</v>
      </c>
      <c r="H948" t="s">
        <v>1706</v>
      </c>
      <c r="L948" s="35">
        <v>1500</v>
      </c>
    </row>
    <row r="949" spans="1:12" x14ac:dyDescent="0.25">
      <c r="A949">
        <v>0</v>
      </c>
      <c r="B949" t="s">
        <v>407</v>
      </c>
      <c r="C949" s="18">
        <v>45900</v>
      </c>
      <c r="D949" t="str">
        <f>"10083"</f>
        <v>10083</v>
      </c>
      <c r="E949" s="18">
        <v>45900</v>
      </c>
      <c r="F949" t="str">
        <f>"25083"</f>
        <v>25083</v>
      </c>
      <c r="G949" t="s">
        <v>247</v>
      </c>
      <c r="H949" t="s">
        <v>1707</v>
      </c>
      <c r="L949" s="35">
        <v>200</v>
      </c>
    </row>
    <row r="950" spans="1:12" x14ac:dyDescent="0.25">
      <c r="A950">
        <v>0</v>
      </c>
      <c r="B950" t="s">
        <v>250</v>
      </c>
      <c r="C950" s="18">
        <v>45930</v>
      </c>
      <c r="D950" t="str">
        <f>"10314"</f>
        <v>10314</v>
      </c>
      <c r="E950" s="18">
        <v>45930</v>
      </c>
      <c r="F950" t="str">
        <f>"372193"</f>
        <v>372193</v>
      </c>
      <c r="G950" t="s">
        <v>247</v>
      </c>
      <c r="H950" t="s">
        <v>1708</v>
      </c>
      <c r="L950" s="35">
        <v>23760</v>
      </c>
    </row>
    <row r="951" spans="1:12" x14ac:dyDescent="0.25">
      <c r="A951">
        <v>0</v>
      </c>
      <c r="B951" t="s">
        <v>250</v>
      </c>
      <c r="C951" s="18">
        <v>45930</v>
      </c>
      <c r="D951" t="str">
        <f>"10394"</f>
        <v>10394</v>
      </c>
      <c r="E951" s="18">
        <v>45930</v>
      </c>
      <c r="F951" t="str">
        <f>"25085"</f>
        <v>25085</v>
      </c>
      <c r="G951" t="s">
        <v>247</v>
      </c>
      <c r="H951" t="s">
        <v>1709</v>
      </c>
      <c r="L951" s="35">
        <v>632000</v>
      </c>
    </row>
    <row r="952" spans="1:12" x14ac:dyDescent="0.25">
      <c r="A952">
        <v>0</v>
      </c>
      <c r="B952" t="s">
        <v>250</v>
      </c>
      <c r="C952" s="18">
        <v>45930</v>
      </c>
      <c r="D952" t="str">
        <f>"10593"</f>
        <v>10593</v>
      </c>
      <c r="E952" s="18">
        <v>45930</v>
      </c>
      <c r="F952" t="s">
        <v>1710</v>
      </c>
      <c r="G952" t="s">
        <v>247</v>
      </c>
      <c r="H952" t="s">
        <v>1711</v>
      </c>
      <c r="L952" s="35">
        <v>380280</v>
      </c>
    </row>
    <row r="953" spans="1:12" x14ac:dyDescent="0.25">
      <c r="A953">
        <v>0</v>
      </c>
      <c r="B953" t="s">
        <v>250</v>
      </c>
      <c r="C953" s="18">
        <v>45930</v>
      </c>
      <c r="D953" t="str">
        <f>"10593"</f>
        <v>10593</v>
      </c>
      <c r="E953" s="18">
        <v>45930</v>
      </c>
      <c r="F953" s="18">
        <v>45810</v>
      </c>
      <c r="G953" t="s">
        <v>247</v>
      </c>
      <c r="H953" t="s">
        <v>1712</v>
      </c>
      <c r="L953" s="35">
        <v>16000</v>
      </c>
    </row>
    <row r="954" spans="1:12" x14ac:dyDescent="0.25">
      <c r="A954">
        <v>0</v>
      </c>
      <c r="B954" t="s">
        <v>337</v>
      </c>
      <c r="C954" s="18">
        <v>45930</v>
      </c>
      <c r="D954" t="str">
        <f>"10648"</f>
        <v>10648</v>
      </c>
      <c r="E954" s="18">
        <v>45930</v>
      </c>
      <c r="G954" t="s">
        <v>247</v>
      </c>
      <c r="H954" t="s">
        <v>1713</v>
      </c>
      <c r="L954" s="35">
        <v>21.89</v>
      </c>
    </row>
    <row r="955" spans="1:12" x14ac:dyDescent="0.25">
      <c r="A955">
        <v>0</v>
      </c>
      <c r="B955" t="s">
        <v>337</v>
      </c>
      <c r="C955" s="18">
        <v>45930</v>
      </c>
      <c r="D955" t="str">
        <f>"10649"</f>
        <v>10649</v>
      </c>
      <c r="E955" s="18">
        <v>45930</v>
      </c>
      <c r="G955" t="s">
        <v>247</v>
      </c>
      <c r="H955" t="s">
        <v>1714</v>
      </c>
      <c r="L955" s="35">
        <v>19356.830000000002</v>
      </c>
    </row>
    <row r="956" spans="1:12" x14ac:dyDescent="0.25">
      <c r="A956">
        <v>0</v>
      </c>
      <c r="B956" t="s">
        <v>337</v>
      </c>
      <c r="C956" s="18">
        <v>45930</v>
      </c>
      <c r="D956" t="str">
        <f>"10650"</f>
        <v>10650</v>
      </c>
      <c r="E956" s="18">
        <v>45930</v>
      </c>
      <c r="G956" t="s">
        <v>247</v>
      </c>
      <c r="H956" t="s">
        <v>1715</v>
      </c>
      <c r="L956" s="35">
        <v>10800</v>
      </c>
    </row>
    <row r="957" spans="1:12" x14ac:dyDescent="0.25">
      <c r="A957">
        <v>0</v>
      </c>
      <c r="B957" t="s">
        <v>337</v>
      </c>
      <c r="C957" s="18">
        <v>45930</v>
      </c>
      <c r="D957" t="str">
        <f>"10651"</f>
        <v>10651</v>
      </c>
      <c r="E957" s="18">
        <v>45930</v>
      </c>
      <c r="G957" t="s">
        <v>247</v>
      </c>
      <c r="H957" t="s">
        <v>1716</v>
      </c>
      <c r="L957" s="35">
        <v>611.52</v>
      </c>
    </row>
    <row r="958" spans="1:12" x14ac:dyDescent="0.25">
      <c r="A958">
        <v>0</v>
      </c>
      <c r="B958" t="s">
        <v>337</v>
      </c>
      <c r="C958" s="18">
        <v>45905</v>
      </c>
      <c r="D958" t="str">
        <f>"10652"</f>
        <v>10652</v>
      </c>
      <c r="E958" s="18">
        <v>45905</v>
      </c>
      <c r="G958" t="s">
        <v>247</v>
      </c>
      <c r="H958" t="s">
        <v>1717</v>
      </c>
      <c r="L958" s="35">
        <v>3000</v>
      </c>
    </row>
    <row r="959" spans="1:12" x14ac:dyDescent="0.25">
      <c r="A959">
        <v>0</v>
      </c>
      <c r="B959" t="s">
        <v>337</v>
      </c>
      <c r="C959" s="18">
        <v>45905</v>
      </c>
      <c r="D959" t="str">
        <f>"10653"</f>
        <v>10653</v>
      </c>
      <c r="E959" s="18">
        <v>45905</v>
      </c>
      <c r="G959" t="s">
        <v>247</v>
      </c>
      <c r="H959" t="s">
        <v>1718</v>
      </c>
      <c r="L959" s="35">
        <v>3000</v>
      </c>
    </row>
    <row r="960" spans="1:12" x14ac:dyDescent="0.25">
      <c r="A960">
        <v>0</v>
      </c>
      <c r="B960" t="s">
        <v>337</v>
      </c>
      <c r="C960" s="18">
        <v>45908</v>
      </c>
      <c r="D960" t="str">
        <f>"10654"</f>
        <v>10654</v>
      </c>
      <c r="E960" s="18">
        <v>45908</v>
      </c>
      <c r="G960" t="s">
        <v>247</v>
      </c>
      <c r="H960" t="s">
        <v>1719</v>
      </c>
      <c r="L960" s="35">
        <v>3000</v>
      </c>
    </row>
    <row r="961" spans="1:12" x14ac:dyDescent="0.25">
      <c r="A961">
        <v>0</v>
      </c>
      <c r="B961" t="s">
        <v>337</v>
      </c>
      <c r="C961" s="18">
        <v>45902</v>
      </c>
      <c r="D961" t="str">
        <f>"10655"</f>
        <v>10655</v>
      </c>
      <c r="E961" s="18">
        <v>45902</v>
      </c>
      <c r="G961" t="s">
        <v>247</v>
      </c>
      <c r="H961" t="s">
        <v>1720</v>
      </c>
      <c r="L961" s="35">
        <v>9600</v>
      </c>
    </row>
    <row r="962" spans="1:12" x14ac:dyDescent="0.25">
      <c r="A962">
        <v>0</v>
      </c>
      <c r="B962" t="s">
        <v>250</v>
      </c>
      <c r="C962" s="18">
        <v>45930</v>
      </c>
      <c r="D962" t="str">
        <f>"10753"</f>
        <v>10753</v>
      </c>
      <c r="E962" s="18">
        <v>45930</v>
      </c>
      <c r="F962" s="18">
        <v>45826</v>
      </c>
      <c r="G962" t="s">
        <v>247</v>
      </c>
      <c r="H962" t="s">
        <v>1721</v>
      </c>
      <c r="L962" s="35">
        <v>84000</v>
      </c>
    </row>
    <row r="963" spans="1:12" x14ac:dyDescent="0.25">
      <c r="A963">
        <v>0</v>
      </c>
      <c r="B963" t="s">
        <v>250</v>
      </c>
      <c r="C963" s="18">
        <v>45940</v>
      </c>
      <c r="D963" t="str">
        <f>"11024"</f>
        <v>11024</v>
      </c>
      <c r="E963" s="18">
        <v>45940</v>
      </c>
      <c r="F963" t="str">
        <f>"25965"</f>
        <v>25965</v>
      </c>
      <c r="G963" t="s">
        <v>247</v>
      </c>
      <c r="H963" t="s">
        <v>1722</v>
      </c>
      <c r="L963" s="35">
        <v>120000</v>
      </c>
    </row>
    <row r="964" spans="1:12" x14ac:dyDescent="0.25">
      <c r="A964">
        <v>0</v>
      </c>
      <c r="B964" t="s">
        <v>407</v>
      </c>
      <c r="C964" s="18">
        <v>45938</v>
      </c>
      <c r="D964" t="str">
        <f>"11048"</f>
        <v>11048</v>
      </c>
      <c r="E964" s="18">
        <v>45938</v>
      </c>
      <c r="F964" t="str">
        <f>"25965"</f>
        <v>25965</v>
      </c>
      <c r="G964" t="s">
        <v>247</v>
      </c>
      <c r="H964" t="s">
        <v>1723</v>
      </c>
      <c r="L964" s="35">
        <v>1500</v>
      </c>
    </row>
    <row r="965" spans="1:12" x14ac:dyDescent="0.25">
      <c r="A965">
        <v>0</v>
      </c>
      <c r="B965" t="s">
        <v>250</v>
      </c>
      <c r="C965" s="18">
        <v>45932</v>
      </c>
      <c r="D965" t="str">
        <f>"11058"</f>
        <v>11058</v>
      </c>
      <c r="E965" s="18">
        <v>45932</v>
      </c>
      <c r="F965" t="s">
        <v>1724</v>
      </c>
      <c r="G965" t="s">
        <v>247</v>
      </c>
      <c r="H965" t="s">
        <v>1725</v>
      </c>
      <c r="L965" s="35">
        <v>24000</v>
      </c>
    </row>
    <row r="966" spans="1:12" x14ac:dyDescent="0.25">
      <c r="A966">
        <v>0</v>
      </c>
      <c r="B966" t="s">
        <v>250</v>
      </c>
      <c r="C966" s="18">
        <v>45933</v>
      </c>
      <c r="D966" t="str">
        <f>"11141"</f>
        <v>11141</v>
      </c>
      <c r="E966" s="18">
        <v>45933</v>
      </c>
      <c r="F966" t="s">
        <v>1726</v>
      </c>
      <c r="G966" t="s">
        <v>247</v>
      </c>
      <c r="H966" t="s">
        <v>1727</v>
      </c>
      <c r="L966" s="35">
        <v>137840</v>
      </c>
    </row>
    <row r="967" spans="1:12" x14ac:dyDescent="0.25">
      <c r="A967">
        <v>0</v>
      </c>
      <c r="B967" t="s">
        <v>337</v>
      </c>
      <c r="C967" s="18">
        <v>45960</v>
      </c>
      <c r="D967" t="str">
        <f>"11554"</f>
        <v>11554</v>
      </c>
      <c r="E967" t="str">
        <f>"00013114"</f>
        <v>00013114</v>
      </c>
      <c r="G967" t="s">
        <v>247</v>
      </c>
      <c r="H967" t="s">
        <v>1728</v>
      </c>
      <c r="L967" s="35">
        <v>19585471.75</v>
      </c>
    </row>
    <row r="968" spans="1:12" x14ac:dyDescent="0.25">
      <c r="A968">
        <v>0</v>
      </c>
      <c r="B968" t="s">
        <v>337</v>
      </c>
      <c r="C968" s="18">
        <v>45873</v>
      </c>
      <c r="D968" t="str">
        <f>"11601"</f>
        <v>11601</v>
      </c>
      <c r="E968" s="18">
        <v>45873</v>
      </c>
      <c r="G968" t="s">
        <v>247</v>
      </c>
      <c r="H968" t="s">
        <v>615</v>
      </c>
      <c r="L968" s="35">
        <v>9600</v>
      </c>
    </row>
  </sheetData>
  <autoFilter ref="A1:M968" xr:uid="{50B27EE3-0600-4518-B3FF-E24D0352398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F54A-83AB-4701-B830-AD2A3CD65E2D}">
  <sheetPr filterMode="1"/>
  <dimension ref="A1:M979"/>
  <sheetViews>
    <sheetView topLeftCell="B1" workbookViewId="0">
      <selection activeCell="L55" sqref="L55:L969"/>
    </sheetView>
  </sheetViews>
  <sheetFormatPr baseColWidth="10" defaultRowHeight="15" x14ac:dyDescent="0.25"/>
  <cols>
    <col min="8" max="8" width="79.5703125" bestFit="1" customWidth="1"/>
    <col min="9" max="11" width="0" hidden="1" customWidth="1"/>
    <col min="12" max="12" width="15.28515625" style="35" bestFit="1" customWidth="1"/>
    <col min="13" max="13" width="16.42578125" style="35" bestFit="1" customWidth="1"/>
  </cols>
  <sheetData>
    <row r="1" spans="1:13" x14ac:dyDescent="0.25">
      <c r="A1" t="s">
        <v>233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  <c r="K1" t="s">
        <v>243</v>
      </c>
      <c r="L1" s="35" t="s">
        <v>204</v>
      </c>
      <c r="M1" s="35" t="s">
        <v>125</v>
      </c>
    </row>
    <row r="2" spans="1:13" hidden="1" x14ac:dyDescent="0.25">
      <c r="A2">
        <v>0</v>
      </c>
      <c r="B2" t="s">
        <v>244</v>
      </c>
      <c r="C2" s="18">
        <v>45658</v>
      </c>
      <c r="D2" t="str">
        <f>"36"</f>
        <v>36</v>
      </c>
      <c r="G2" t="s">
        <v>245</v>
      </c>
      <c r="H2" t="s">
        <v>246</v>
      </c>
      <c r="M2" s="35">
        <v>80866901</v>
      </c>
    </row>
    <row r="3" spans="1:13" hidden="1" x14ac:dyDescent="0.25">
      <c r="A3">
        <v>0</v>
      </c>
      <c r="B3" t="s">
        <v>244</v>
      </c>
      <c r="C3" s="18">
        <v>45658</v>
      </c>
      <c r="D3" t="str">
        <f>"36"</f>
        <v>36</v>
      </c>
      <c r="G3" t="s">
        <v>247</v>
      </c>
      <c r="H3" t="s">
        <v>246</v>
      </c>
      <c r="M3" s="35">
        <v>185920690.81999999</v>
      </c>
    </row>
    <row r="4" spans="1:13" hidden="1" x14ac:dyDescent="0.25">
      <c r="A4">
        <v>0</v>
      </c>
      <c r="B4" t="s">
        <v>248</v>
      </c>
      <c r="C4" s="18">
        <v>45666</v>
      </c>
      <c r="D4" t="str">
        <f>"80"</f>
        <v>80</v>
      </c>
      <c r="E4" s="18">
        <v>45666</v>
      </c>
      <c r="G4" t="s">
        <v>247</v>
      </c>
      <c r="H4" t="s">
        <v>249</v>
      </c>
      <c r="L4" s="35">
        <v>3103598.92</v>
      </c>
    </row>
    <row r="5" spans="1:13" hidden="1" x14ac:dyDescent="0.25">
      <c r="A5">
        <v>0</v>
      </c>
      <c r="B5" t="s">
        <v>250</v>
      </c>
      <c r="C5" s="18">
        <v>45658</v>
      </c>
      <c r="D5" t="str">
        <f>"83"</f>
        <v>83</v>
      </c>
      <c r="E5" s="18">
        <v>45649</v>
      </c>
      <c r="F5" t="s">
        <v>251</v>
      </c>
      <c r="G5" t="s">
        <v>247</v>
      </c>
      <c r="H5" t="s">
        <v>252</v>
      </c>
      <c r="L5" s="35">
        <v>644160</v>
      </c>
    </row>
    <row r="6" spans="1:13" hidden="1" x14ac:dyDescent="0.25">
      <c r="A6">
        <v>0</v>
      </c>
      <c r="B6" t="s">
        <v>250</v>
      </c>
      <c r="C6" s="18">
        <v>45658</v>
      </c>
      <c r="D6" t="str">
        <f>"83"</f>
        <v>83</v>
      </c>
      <c r="E6" s="18">
        <v>45655</v>
      </c>
      <c r="F6" t="s">
        <v>253</v>
      </c>
      <c r="G6" t="s">
        <v>247</v>
      </c>
      <c r="H6" t="s">
        <v>254</v>
      </c>
      <c r="L6" s="35">
        <v>383600</v>
      </c>
    </row>
    <row r="7" spans="1:13" hidden="1" x14ac:dyDescent="0.25">
      <c r="A7">
        <v>0</v>
      </c>
      <c r="B7" t="s">
        <v>250</v>
      </c>
      <c r="C7" s="18">
        <v>45658</v>
      </c>
      <c r="D7" t="str">
        <f>"83"</f>
        <v>83</v>
      </c>
      <c r="E7" s="18">
        <v>45656</v>
      </c>
      <c r="F7" t="s">
        <v>255</v>
      </c>
      <c r="G7" t="s">
        <v>247</v>
      </c>
      <c r="H7" t="s">
        <v>256</v>
      </c>
      <c r="L7" s="35">
        <v>598720</v>
      </c>
    </row>
    <row r="8" spans="1:13" hidden="1" x14ac:dyDescent="0.25">
      <c r="A8">
        <v>0</v>
      </c>
      <c r="B8" t="s">
        <v>250</v>
      </c>
      <c r="C8" s="18">
        <v>45658</v>
      </c>
      <c r="D8" t="str">
        <f>"330"</f>
        <v>330</v>
      </c>
      <c r="E8" s="18">
        <v>45657</v>
      </c>
      <c r="F8" t="str">
        <f>"21739"</f>
        <v>21739</v>
      </c>
      <c r="G8" t="s">
        <v>247</v>
      </c>
      <c r="H8" t="s">
        <v>257</v>
      </c>
      <c r="L8" s="35">
        <v>110000</v>
      </c>
    </row>
    <row r="9" spans="1:13" hidden="1" x14ac:dyDescent="0.25">
      <c r="A9">
        <v>0</v>
      </c>
      <c r="B9" t="s">
        <v>250</v>
      </c>
      <c r="C9" s="18">
        <v>45658</v>
      </c>
      <c r="D9" t="str">
        <f>"330"</f>
        <v>330</v>
      </c>
      <c r="E9" s="18">
        <v>45657</v>
      </c>
      <c r="F9" t="str">
        <f>"21740"</f>
        <v>21740</v>
      </c>
      <c r="G9" t="s">
        <v>247</v>
      </c>
      <c r="H9" t="s">
        <v>258</v>
      </c>
      <c r="L9" s="35">
        <v>798400</v>
      </c>
    </row>
    <row r="10" spans="1:13" hidden="1" x14ac:dyDescent="0.25">
      <c r="A10">
        <v>0</v>
      </c>
      <c r="B10" t="s">
        <v>250</v>
      </c>
      <c r="C10" s="18">
        <v>45658</v>
      </c>
      <c r="D10" t="str">
        <f t="shared" ref="D10:D53" si="0">"432"</f>
        <v>432</v>
      </c>
      <c r="E10" s="18">
        <v>45629</v>
      </c>
      <c r="F10" t="str">
        <f>"344896"</f>
        <v>344896</v>
      </c>
      <c r="G10" t="s">
        <v>247</v>
      </c>
      <c r="H10" t="s">
        <v>259</v>
      </c>
      <c r="L10" s="35">
        <v>547200</v>
      </c>
    </row>
    <row r="11" spans="1:13" hidden="1" x14ac:dyDescent="0.25">
      <c r="A11">
        <v>0</v>
      </c>
      <c r="B11" t="s">
        <v>250</v>
      </c>
      <c r="C11" s="18">
        <v>45658</v>
      </c>
      <c r="D11" t="str">
        <f t="shared" si="0"/>
        <v>432</v>
      </c>
      <c r="E11" s="18">
        <v>45629</v>
      </c>
      <c r="F11" t="s">
        <v>260</v>
      </c>
      <c r="G11" t="s">
        <v>247</v>
      </c>
      <c r="H11" t="s">
        <v>261</v>
      </c>
      <c r="L11" s="35">
        <v>84000</v>
      </c>
    </row>
    <row r="12" spans="1:13" hidden="1" x14ac:dyDescent="0.25">
      <c r="A12">
        <v>0</v>
      </c>
      <c r="B12" t="s">
        <v>250</v>
      </c>
      <c r="C12" s="18">
        <v>45658</v>
      </c>
      <c r="D12" t="str">
        <f t="shared" si="0"/>
        <v>432</v>
      </c>
      <c r="E12" s="18">
        <v>45629</v>
      </c>
      <c r="F12" t="str">
        <f>"251256"</f>
        <v>251256</v>
      </c>
      <c r="G12" t="s">
        <v>247</v>
      </c>
      <c r="H12" t="s">
        <v>262</v>
      </c>
      <c r="L12" s="35">
        <v>76320</v>
      </c>
    </row>
    <row r="13" spans="1:13" hidden="1" x14ac:dyDescent="0.25">
      <c r="A13">
        <v>0</v>
      </c>
      <c r="B13" t="s">
        <v>250</v>
      </c>
      <c r="C13" s="18">
        <v>45658</v>
      </c>
      <c r="D13" t="str">
        <f t="shared" si="0"/>
        <v>432</v>
      </c>
      <c r="E13" s="18">
        <v>45639</v>
      </c>
      <c r="F13" t="s">
        <v>263</v>
      </c>
      <c r="G13" t="s">
        <v>247</v>
      </c>
      <c r="H13" t="s">
        <v>264</v>
      </c>
      <c r="L13" s="35">
        <v>156960</v>
      </c>
    </row>
    <row r="14" spans="1:13" hidden="1" x14ac:dyDescent="0.25">
      <c r="A14">
        <v>0</v>
      </c>
      <c r="B14" t="s">
        <v>250</v>
      </c>
      <c r="C14" s="18">
        <v>45658</v>
      </c>
      <c r="D14" t="str">
        <f t="shared" si="0"/>
        <v>432</v>
      </c>
      <c r="E14" s="18">
        <v>45639</v>
      </c>
      <c r="F14" t="s">
        <v>265</v>
      </c>
      <c r="G14" t="s">
        <v>247</v>
      </c>
      <c r="H14" t="s">
        <v>266</v>
      </c>
      <c r="L14" s="35">
        <v>30240</v>
      </c>
    </row>
    <row r="15" spans="1:13" hidden="1" x14ac:dyDescent="0.25">
      <c r="A15">
        <v>0</v>
      </c>
      <c r="B15" t="s">
        <v>250</v>
      </c>
      <c r="C15" s="18">
        <v>45658</v>
      </c>
      <c r="D15" t="str">
        <f t="shared" si="0"/>
        <v>432</v>
      </c>
      <c r="E15" s="18">
        <v>45639</v>
      </c>
      <c r="F15" t="s">
        <v>267</v>
      </c>
      <c r="G15" t="s">
        <v>247</v>
      </c>
      <c r="H15" t="s">
        <v>268</v>
      </c>
      <c r="L15" s="35">
        <v>140000</v>
      </c>
    </row>
    <row r="16" spans="1:13" hidden="1" x14ac:dyDescent="0.25">
      <c r="A16">
        <v>0</v>
      </c>
      <c r="B16" t="s">
        <v>250</v>
      </c>
      <c r="C16" s="18">
        <v>45658</v>
      </c>
      <c r="D16" t="str">
        <f t="shared" si="0"/>
        <v>432</v>
      </c>
      <c r="E16" s="18">
        <v>45639</v>
      </c>
      <c r="F16" t="s">
        <v>269</v>
      </c>
      <c r="G16" t="s">
        <v>247</v>
      </c>
      <c r="H16" t="s">
        <v>270</v>
      </c>
      <c r="L16" s="35">
        <v>136640</v>
      </c>
    </row>
    <row r="17" spans="1:12" hidden="1" x14ac:dyDescent="0.25">
      <c r="A17">
        <v>0</v>
      </c>
      <c r="B17" t="s">
        <v>250</v>
      </c>
      <c r="C17" s="18">
        <v>45658</v>
      </c>
      <c r="D17" t="str">
        <f t="shared" si="0"/>
        <v>432</v>
      </c>
      <c r="E17" s="18">
        <v>45642</v>
      </c>
      <c r="F17" t="str">
        <f>"202404005"</f>
        <v>202404005</v>
      </c>
      <c r="G17" t="s">
        <v>247</v>
      </c>
      <c r="H17" t="s">
        <v>271</v>
      </c>
      <c r="L17" s="35">
        <v>16000</v>
      </c>
    </row>
    <row r="18" spans="1:12" hidden="1" x14ac:dyDescent="0.25">
      <c r="A18">
        <v>0</v>
      </c>
      <c r="B18" t="s">
        <v>250</v>
      </c>
      <c r="C18" s="18">
        <v>45658</v>
      </c>
      <c r="D18" t="str">
        <f t="shared" si="0"/>
        <v>432</v>
      </c>
      <c r="E18" s="18">
        <v>45642</v>
      </c>
      <c r="F18" t="s">
        <v>272</v>
      </c>
      <c r="G18" t="s">
        <v>247</v>
      </c>
      <c r="H18" t="s">
        <v>273</v>
      </c>
      <c r="L18" s="35">
        <v>672000</v>
      </c>
    </row>
    <row r="19" spans="1:12" hidden="1" x14ac:dyDescent="0.25">
      <c r="A19">
        <v>0</v>
      </c>
      <c r="B19" t="s">
        <v>250</v>
      </c>
      <c r="C19" s="18">
        <v>45658</v>
      </c>
      <c r="D19" t="str">
        <f t="shared" si="0"/>
        <v>432</v>
      </c>
      <c r="E19" s="18">
        <v>45642</v>
      </c>
      <c r="F19" t="s">
        <v>274</v>
      </c>
      <c r="G19" t="s">
        <v>247</v>
      </c>
      <c r="H19" t="s">
        <v>275</v>
      </c>
      <c r="L19" s="35">
        <v>15200</v>
      </c>
    </row>
    <row r="20" spans="1:12" hidden="1" x14ac:dyDescent="0.25">
      <c r="A20">
        <v>0</v>
      </c>
      <c r="B20" t="s">
        <v>250</v>
      </c>
      <c r="C20" s="18">
        <v>45658</v>
      </c>
      <c r="D20" t="str">
        <f t="shared" si="0"/>
        <v>432</v>
      </c>
      <c r="E20" s="18">
        <v>45642</v>
      </c>
      <c r="F20" t="str">
        <f>"0124"</f>
        <v>0124</v>
      </c>
      <c r="G20" t="s">
        <v>247</v>
      </c>
      <c r="H20" t="s">
        <v>276</v>
      </c>
      <c r="L20" s="35">
        <v>148800</v>
      </c>
    </row>
    <row r="21" spans="1:12" hidden="1" x14ac:dyDescent="0.25">
      <c r="A21">
        <v>0</v>
      </c>
      <c r="B21" t="s">
        <v>250</v>
      </c>
      <c r="C21" s="18">
        <v>45658</v>
      </c>
      <c r="D21" t="str">
        <f t="shared" si="0"/>
        <v>432</v>
      </c>
      <c r="E21" s="18">
        <v>45649</v>
      </c>
      <c r="F21" t="str">
        <f>"41130"</f>
        <v>41130</v>
      </c>
      <c r="G21" t="s">
        <v>247</v>
      </c>
      <c r="H21" t="s">
        <v>277</v>
      </c>
      <c r="L21" s="35">
        <v>28000</v>
      </c>
    </row>
    <row r="22" spans="1:12" hidden="1" x14ac:dyDescent="0.25">
      <c r="A22">
        <v>0</v>
      </c>
      <c r="B22" t="s">
        <v>250</v>
      </c>
      <c r="C22" s="18">
        <v>45658</v>
      </c>
      <c r="D22" t="str">
        <f t="shared" si="0"/>
        <v>432</v>
      </c>
      <c r="E22" s="18">
        <v>45649</v>
      </c>
      <c r="F22" t="s">
        <v>278</v>
      </c>
      <c r="G22" t="s">
        <v>247</v>
      </c>
      <c r="H22" t="s">
        <v>279</v>
      </c>
      <c r="L22" s="35">
        <v>28000</v>
      </c>
    </row>
    <row r="23" spans="1:12" hidden="1" x14ac:dyDescent="0.25">
      <c r="A23">
        <v>0</v>
      </c>
      <c r="B23" t="s">
        <v>250</v>
      </c>
      <c r="C23" s="18">
        <v>45658</v>
      </c>
      <c r="D23" t="str">
        <f t="shared" si="0"/>
        <v>432</v>
      </c>
      <c r="E23" s="18">
        <v>45649</v>
      </c>
      <c r="F23" t="s">
        <v>280</v>
      </c>
      <c r="G23" t="s">
        <v>247</v>
      </c>
      <c r="H23" t="s">
        <v>281</v>
      </c>
      <c r="L23" s="35">
        <v>162160</v>
      </c>
    </row>
    <row r="24" spans="1:12" hidden="1" x14ac:dyDescent="0.25">
      <c r="A24">
        <v>0</v>
      </c>
      <c r="B24" t="s">
        <v>250</v>
      </c>
      <c r="C24" s="18">
        <v>45658</v>
      </c>
      <c r="D24" t="str">
        <f t="shared" si="0"/>
        <v>432</v>
      </c>
      <c r="E24" s="18">
        <v>45649</v>
      </c>
      <c r="F24" t="s">
        <v>282</v>
      </c>
      <c r="G24" t="s">
        <v>247</v>
      </c>
      <c r="H24" t="s">
        <v>283</v>
      </c>
      <c r="L24" s="35">
        <v>19360</v>
      </c>
    </row>
    <row r="25" spans="1:12" hidden="1" x14ac:dyDescent="0.25">
      <c r="A25">
        <v>0</v>
      </c>
      <c r="B25" t="s">
        <v>250</v>
      </c>
      <c r="C25" s="18">
        <v>45658</v>
      </c>
      <c r="D25" t="str">
        <f t="shared" si="0"/>
        <v>432</v>
      </c>
      <c r="E25" s="18">
        <v>45649</v>
      </c>
      <c r="F25" t="str">
        <f>"343404"</f>
        <v>343404</v>
      </c>
      <c r="G25" t="s">
        <v>247</v>
      </c>
      <c r="H25" t="s">
        <v>284</v>
      </c>
      <c r="L25" s="35">
        <v>1124224</v>
      </c>
    </row>
    <row r="26" spans="1:12" hidden="1" x14ac:dyDescent="0.25">
      <c r="A26">
        <v>0</v>
      </c>
      <c r="B26" t="s">
        <v>250</v>
      </c>
      <c r="C26" s="18">
        <v>45658</v>
      </c>
      <c r="D26" t="str">
        <f t="shared" si="0"/>
        <v>432</v>
      </c>
      <c r="E26" s="18">
        <v>45649</v>
      </c>
      <c r="F26" s="31" t="s">
        <v>285</v>
      </c>
      <c r="G26" t="s">
        <v>247</v>
      </c>
      <c r="H26" t="s">
        <v>286</v>
      </c>
      <c r="L26" s="35">
        <v>227840</v>
      </c>
    </row>
    <row r="27" spans="1:12" hidden="1" x14ac:dyDescent="0.25">
      <c r="A27">
        <v>0</v>
      </c>
      <c r="B27" t="s">
        <v>250</v>
      </c>
      <c r="C27" s="18">
        <v>45658</v>
      </c>
      <c r="D27" t="str">
        <f t="shared" si="0"/>
        <v>432</v>
      </c>
      <c r="E27" s="18">
        <v>45649</v>
      </c>
      <c r="F27" t="s">
        <v>287</v>
      </c>
      <c r="G27" t="s">
        <v>247</v>
      </c>
      <c r="H27" t="s">
        <v>288</v>
      </c>
      <c r="L27" s="35">
        <v>165200</v>
      </c>
    </row>
    <row r="28" spans="1:12" hidden="1" x14ac:dyDescent="0.25">
      <c r="A28">
        <v>0</v>
      </c>
      <c r="B28" t="s">
        <v>250</v>
      </c>
      <c r="C28" s="18">
        <v>45658</v>
      </c>
      <c r="D28" t="str">
        <f t="shared" si="0"/>
        <v>432</v>
      </c>
      <c r="E28" s="18">
        <v>45649</v>
      </c>
      <c r="F28" t="s">
        <v>289</v>
      </c>
      <c r="G28" t="s">
        <v>247</v>
      </c>
      <c r="H28" t="s">
        <v>290</v>
      </c>
      <c r="L28" s="35">
        <v>1094880</v>
      </c>
    </row>
    <row r="29" spans="1:12" hidden="1" x14ac:dyDescent="0.25">
      <c r="A29">
        <v>0</v>
      </c>
      <c r="B29" t="s">
        <v>250</v>
      </c>
      <c r="C29" s="18">
        <v>45658</v>
      </c>
      <c r="D29" t="str">
        <f t="shared" si="0"/>
        <v>432</v>
      </c>
      <c r="E29" s="18">
        <v>45649</v>
      </c>
      <c r="F29" t="s">
        <v>291</v>
      </c>
      <c r="G29" t="s">
        <v>247</v>
      </c>
      <c r="H29" t="s">
        <v>292</v>
      </c>
      <c r="L29" s="35">
        <v>48000</v>
      </c>
    </row>
    <row r="30" spans="1:12" hidden="1" x14ac:dyDescent="0.25">
      <c r="A30">
        <v>0</v>
      </c>
      <c r="B30" t="s">
        <v>250</v>
      </c>
      <c r="C30" s="18">
        <v>45658</v>
      </c>
      <c r="D30" t="str">
        <f t="shared" si="0"/>
        <v>432</v>
      </c>
      <c r="E30" s="18">
        <v>45649</v>
      </c>
      <c r="F30" t="s">
        <v>293</v>
      </c>
      <c r="G30" t="s">
        <v>247</v>
      </c>
      <c r="H30" t="s">
        <v>294</v>
      </c>
      <c r="L30" s="35">
        <v>455520</v>
      </c>
    </row>
    <row r="31" spans="1:12" hidden="1" x14ac:dyDescent="0.25">
      <c r="A31">
        <v>0</v>
      </c>
      <c r="B31" t="s">
        <v>250</v>
      </c>
      <c r="C31" s="18">
        <v>45658</v>
      </c>
      <c r="D31" t="str">
        <f t="shared" si="0"/>
        <v>432</v>
      </c>
      <c r="E31" s="18">
        <v>45649</v>
      </c>
      <c r="F31" t="s">
        <v>295</v>
      </c>
      <c r="G31" t="s">
        <v>247</v>
      </c>
      <c r="H31" t="s">
        <v>296</v>
      </c>
      <c r="L31" s="35">
        <v>24000</v>
      </c>
    </row>
    <row r="32" spans="1:12" hidden="1" x14ac:dyDescent="0.25">
      <c r="A32">
        <v>0</v>
      </c>
      <c r="B32" t="s">
        <v>250</v>
      </c>
      <c r="C32" s="18">
        <v>45658</v>
      </c>
      <c r="D32" t="str">
        <f t="shared" si="0"/>
        <v>432</v>
      </c>
      <c r="E32" s="18">
        <v>45649</v>
      </c>
      <c r="F32" t="s">
        <v>297</v>
      </c>
      <c r="G32" t="s">
        <v>247</v>
      </c>
      <c r="H32" t="s">
        <v>298</v>
      </c>
      <c r="L32" s="35">
        <v>56000</v>
      </c>
    </row>
    <row r="33" spans="1:12" hidden="1" x14ac:dyDescent="0.25">
      <c r="A33">
        <v>0</v>
      </c>
      <c r="B33" t="s">
        <v>250</v>
      </c>
      <c r="C33" s="18">
        <v>45658</v>
      </c>
      <c r="D33" t="str">
        <f t="shared" si="0"/>
        <v>432</v>
      </c>
      <c r="E33" s="18">
        <v>45649</v>
      </c>
      <c r="F33" t="str">
        <f>"17517"</f>
        <v>17517</v>
      </c>
      <c r="G33" t="s">
        <v>247</v>
      </c>
      <c r="H33" t="s">
        <v>299</v>
      </c>
      <c r="L33" s="35">
        <v>609600</v>
      </c>
    </row>
    <row r="34" spans="1:12" hidden="1" x14ac:dyDescent="0.25">
      <c r="A34">
        <v>0</v>
      </c>
      <c r="B34" t="s">
        <v>250</v>
      </c>
      <c r="C34" s="18">
        <v>45658</v>
      </c>
      <c r="D34" t="str">
        <f t="shared" si="0"/>
        <v>432</v>
      </c>
      <c r="E34" s="18">
        <v>45649</v>
      </c>
      <c r="F34" t="s">
        <v>300</v>
      </c>
      <c r="G34" t="s">
        <v>247</v>
      </c>
      <c r="H34" t="s">
        <v>301</v>
      </c>
      <c r="L34" s="35">
        <v>32000</v>
      </c>
    </row>
    <row r="35" spans="1:12" hidden="1" x14ac:dyDescent="0.25">
      <c r="A35">
        <v>0</v>
      </c>
      <c r="B35" t="s">
        <v>250</v>
      </c>
      <c r="C35" s="18">
        <v>45658</v>
      </c>
      <c r="D35" t="str">
        <f t="shared" si="0"/>
        <v>432</v>
      </c>
      <c r="E35" s="18">
        <v>45649</v>
      </c>
      <c r="F35" t="s">
        <v>302</v>
      </c>
      <c r="G35" t="s">
        <v>247</v>
      </c>
      <c r="H35" t="s">
        <v>303</v>
      </c>
      <c r="L35" s="35">
        <v>12800</v>
      </c>
    </row>
    <row r="36" spans="1:12" hidden="1" x14ac:dyDescent="0.25">
      <c r="A36">
        <v>0</v>
      </c>
      <c r="B36" t="s">
        <v>250</v>
      </c>
      <c r="C36" s="18">
        <v>45658</v>
      </c>
      <c r="D36" t="str">
        <f t="shared" si="0"/>
        <v>432</v>
      </c>
      <c r="E36" s="18">
        <v>45649</v>
      </c>
      <c r="F36" t="s">
        <v>304</v>
      </c>
      <c r="G36" t="s">
        <v>247</v>
      </c>
      <c r="H36" t="s">
        <v>305</v>
      </c>
      <c r="L36" s="35">
        <v>29520</v>
      </c>
    </row>
    <row r="37" spans="1:12" hidden="1" x14ac:dyDescent="0.25">
      <c r="A37">
        <v>0</v>
      </c>
      <c r="B37" t="s">
        <v>250</v>
      </c>
      <c r="C37" s="18">
        <v>45658</v>
      </c>
      <c r="D37" t="str">
        <f t="shared" si="0"/>
        <v>432</v>
      </c>
      <c r="E37" s="18">
        <v>45649</v>
      </c>
      <c r="F37" t="s">
        <v>306</v>
      </c>
      <c r="G37" t="s">
        <v>247</v>
      </c>
      <c r="H37" t="s">
        <v>307</v>
      </c>
      <c r="L37" s="35">
        <v>28000</v>
      </c>
    </row>
    <row r="38" spans="1:12" hidden="1" x14ac:dyDescent="0.25">
      <c r="A38">
        <v>0</v>
      </c>
      <c r="B38" t="s">
        <v>250</v>
      </c>
      <c r="C38" s="18">
        <v>45658</v>
      </c>
      <c r="D38" t="str">
        <f t="shared" si="0"/>
        <v>432</v>
      </c>
      <c r="E38" s="18">
        <v>45652</v>
      </c>
      <c r="F38" t="s">
        <v>308</v>
      </c>
      <c r="G38" t="s">
        <v>247</v>
      </c>
      <c r="H38" t="s">
        <v>309</v>
      </c>
      <c r="L38" s="35">
        <v>156400</v>
      </c>
    </row>
    <row r="39" spans="1:12" hidden="1" x14ac:dyDescent="0.25">
      <c r="A39">
        <v>0</v>
      </c>
      <c r="B39" t="s">
        <v>250</v>
      </c>
      <c r="C39" s="18">
        <v>45658</v>
      </c>
      <c r="D39" t="str">
        <f t="shared" si="0"/>
        <v>432</v>
      </c>
      <c r="E39" s="18">
        <v>45657</v>
      </c>
      <c r="F39" t="s">
        <v>310</v>
      </c>
      <c r="G39" t="s">
        <v>247</v>
      </c>
      <c r="H39" t="s">
        <v>311</v>
      </c>
      <c r="L39" s="35">
        <v>28000</v>
      </c>
    </row>
    <row r="40" spans="1:12" hidden="1" x14ac:dyDescent="0.25">
      <c r="A40">
        <v>0</v>
      </c>
      <c r="B40" t="s">
        <v>250</v>
      </c>
      <c r="C40" s="18">
        <v>45658</v>
      </c>
      <c r="D40" t="str">
        <f t="shared" si="0"/>
        <v>432</v>
      </c>
      <c r="E40" s="18">
        <v>45657</v>
      </c>
      <c r="F40" t="s">
        <v>312</v>
      </c>
      <c r="G40" t="s">
        <v>247</v>
      </c>
      <c r="H40" t="s">
        <v>313</v>
      </c>
      <c r="L40" s="35">
        <v>65600</v>
      </c>
    </row>
    <row r="41" spans="1:12" hidden="1" x14ac:dyDescent="0.25">
      <c r="A41">
        <v>0</v>
      </c>
      <c r="B41" t="s">
        <v>250</v>
      </c>
      <c r="C41" s="18">
        <v>45658</v>
      </c>
      <c r="D41" t="str">
        <f t="shared" si="0"/>
        <v>432</v>
      </c>
      <c r="E41" s="18">
        <v>45657</v>
      </c>
      <c r="F41" t="str">
        <f>"2093"</f>
        <v>2093</v>
      </c>
      <c r="G41" t="s">
        <v>247</v>
      </c>
      <c r="H41" t="s">
        <v>314</v>
      </c>
      <c r="L41" s="35">
        <v>400000</v>
      </c>
    </row>
    <row r="42" spans="1:12" hidden="1" x14ac:dyDescent="0.25">
      <c r="A42">
        <v>0</v>
      </c>
      <c r="B42" t="s">
        <v>250</v>
      </c>
      <c r="C42" s="18">
        <v>45658</v>
      </c>
      <c r="D42" t="str">
        <f t="shared" si="0"/>
        <v>432</v>
      </c>
      <c r="E42" s="18">
        <v>45657</v>
      </c>
      <c r="F42" t="s">
        <v>315</v>
      </c>
      <c r="G42" t="s">
        <v>247</v>
      </c>
      <c r="H42" t="s">
        <v>316</v>
      </c>
      <c r="L42" s="35">
        <v>2487200</v>
      </c>
    </row>
    <row r="43" spans="1:12" hidden="1" x14ac:dyDescent="0.25">
      <c r="A43">
        <v>0</v>
      </c>
      <c r="B43" t="s">
        <v>250</v>
      </c>
      <c r="C43" s="18">
        <v>45658</v>
      </c>
      <c r="D43" t="str">
        <f t="shared" si="0"/>
        <v>432</v>
      </c>
      <c r="E43" s="18">
        <v>45657</v>
      </c>
      <c r="F43" t="s">
        <v>317</v>
      </c>
      <c r="G43" t="s">
        <v>247</v>
      </c>
      <c r="H43" t="s">
        <v>318</v>
      </c>
      <c r="L43" s="35">
        <v>388000</v>
      </c>
    </row>
    <row r="44" spans="1:12" hidden="1" x14ac:dyDescent="0.25">
      <c r="A44">
        <v>0</v>
      </c>
      <c r="B44" t="s">
        <v>250</v>
      </c>
      <c r="C44" s="18">
        <v>45658</v>
      </c>
      <c r="D44" t="str">
        <f t="shared" si="0"/>
        <v>432</v>
      </c>
      <c r="E44" s="18">
        <v>45657</v>
      </c>
      <c r="F44" t="s">
        <v>319</v>
      </c>
      <c r="G44" t="s">
        <v>247</v>
      </c>
      <c r="H44" t="s">
        <v>320</v>
      </c>
      <c r="L44" s="35">
        <v>420280</v>
      </c>
    </row>
    <row r="45" spans="1:12" hidden="1" x14ac:dyDescent="0.25">
      <c r="A45">
        <v>0</v>
      </c>
      <c r="B45" t="s">
        <v>250</v>
      </c>
      <c r="C45" s="18">
        <v>45658</v>
      </c>
      <c r="D45" t="str">
        <f t="shared" si="0"/>
        <v>432</v>
      </c>
      <c r="E45" s="18">
        <v>45657</v>
      </c>
      <c r="F45" t="str">
        <f>"344172"</f>
        <v>344172</v>
      </c>
      <c r="G45" t="s">
        <v>247</v>
      </c>
      <c r="H45" t="s">
        <v>321</v>
      </c>
      <c r="L45" s="35">
        <v>1169600</v>
      </c>
    </row>
    <row r="46" spans="1:12" hidden="1" x14ac:dyDescent="0.25">
      <c r="A46">
        <v>0</v>
      </c>
      <c r="B46" t="s">
        <v>250</v>
      </c>
      <c r="C46" s="18">
        <v>45658</v>
      </c>
      <c r="D46" t="str">
        <f t="shared" si="0"/>
        <v>432</v>
      </c>
      <c r="E46" s="18">
        <v>45657</v>
      </c>
      <c r="F46" t="str">
        <f>"17555"</f>
        <v>17555</v>
      </c>
      <c r="G46" t="s">
        <v>247</v>
      </c>
      <c r="H46" t="s">
        <v>322</v>
      </c>
      <c r="L46" s="35">
        <v>720000</v>
      </c>
    </row>
    <row r="47" spans="1:12" hidden="1" x14ac:dyDescent="0.25">
      <c r="A47">
        <v>0</v>
      </c>
      <c r="B47" t="s">
        <v>250</v>
      </c>
      <c r="C47" s="18">
        <v>45658</v>
      </c>
      <c r="D47" t="str">
        <f t="shared" si="0"/>
        <v>432</v>
      </c>
      <c r="E47" s="18">
        <v>45657</v>
      </c>
      <c r="F47" t="s">
        <v>323</v>
      </c>
      <c r="G47" t="s">
        <v>247</v>
      </c>
      <c r="H47" t="s">
        <v>324</v>
      </c>
      <c r="L47" s="35">
        <v>248000</v>
      </c>
    </row>
    <row r="48" spans="1:12" hidden="1" x14ac:dyDescent="0.25">
      <c r="A48">
        <v>0</v>
      </c>
      <c r="B48" t="s">
        <v>250</v>
      </c>
      <c r="C48" s="18">
        <v>45658</v>
      </c>
      <c r="D48" t="str">
        <f t="shared" si="0"/>
        <v>432</v>
      </c>
      <c r="E48" s="18">
        <v>45657</v>
      </c>
      <c r="F48" t="s">
        <v>325</v>
      </c>
      <c r="G48" t="s">
        <v>247</v>
      </c>
      <c r="H48" t="s">
        <v>326</v>
      </c>
      <c r="L48" s="35">
        <v>454000</v>
      </c>
    </row>
    <row r="49" spans="1:12" hidden="1" x14ac:dyDescent="0.25">
      <c r="A49">
        <v>0</v>
      </c>
      <c r="B49" t="s">
        <v>250</v>
      </c>
      <c r="C49" s="18">
        <v>45658</v>
      </c>
      <c r="D49" t="str">
        <f t="shared" si="0"/>
        <v>432</v>
      </c>
      <c r="E49" s="18">
        <v>45657</v>
      </c>
      <c r="F49" t="s">
        <v>327</v>
      </c>
      <c r="G49" t="s">
        <v>247</v>
      </c>
      <c r="H49" t="s">
        <v>328</v>
      </c>
      <c r="L49" s="35">
        <v>96000</v>
      </c>
    </row>
    <row r="50" spans="1:12" hidden="1" x14ac:dyDescent="0.25">
      <c r="A50">
        <v>0</v>
      </c>
      <c r="B50" t="s">
        <v>250</v>
      </c>
      <c r="C50" s="18">
        <v>45658</v>
      </c>
      <c r="D50" t="str">
        <f t="shared" si="0"/>
        <v>432</v>
      </c>
      <c r="E50" s="18">
        <v>45657</v>
      </c>
      <c r="F50" t="s">
        <v>329</v>
      </c>
      <c r="G50" t="s">
        <v>247</v>
      </c>
      <c r="H50" t="s">
        <v>330</v>
      </c>
      <c r="L50" s="35">
        <v>32000</v>
      </c>
    </row>
    <row r="51" spans="1:12" hidden="1" x14ac:dyDescent="0.25">
      <c r="A51">
        <v>0</v>
      </c>
      <c r="B51" t="s">
        <v>250</v>
      </c>
      <c r="C51" s="18">
        <v>45658</v>
      </c>
      <c r="D51" t="str">
        <f t="shared" si="0"/>
        <v>432</v>
      </c>
      <c r="E51" s="18">
        <v>45657</v>
      </c>
      <c r="F51" t="s">
        <v>331</v>
      </c>
      <c r="G51" t="s">
        <v>247</v>
      </c>
      <c r="H51" t="s">
        <v>332</v>
      </c>
      <c r="L51" s="35">
        <v>881880</v>
      </c>
    </row>
    <row r="52" spans="1:12" hidden="1" x14ac:dyDescent="0.25">
      <c r="A52">
        <v>0</v>
      </c>
      <c r="B52" t="s">
        <v>250</v>
      </c>
      <c r="C52" s="18">
        <v>45658</v>
      </c>
      <c r="D52" t="str">
        <f t="shared" si="0"/>
        <v>432</v>
      </c>
      <c r="E52" s="18">
        <v>45657</v>
      </c>
      <c r="F52" t="s">
        <v>333</v>
      </c>
      <c r="G52" t="s">
        <v>247</v>
      </c>
      <c r="H52" t="s">
        <v>334</v>
      </c>
      <c r="L52" s="35">
        <v>1480000</v>
      </c>
    </row>
    <row r="53" spans="1:12" hidden="1" x14ac:dyDescent="0.25">
      <c r="A53">
        <v>0</v>
      </c>
      <c r="B53" t="s">
        <v>250</v>
      </c>
      <c r="C53" s="18">
        <v>45658</v>
      </c>
      <c r="D53" t="str">
        <f t="shared" si="0"/>
        <v>432</v>
      </c>
      <c r="E53" s="18">
        <v>45657</v>
      </c>
      <c r="F53" t="s">
        <v>335</v>
      </c>
      <c r="G53" t="s">
        <v>247</v>
      </c>
      <c r="H53" t="s">
        <v>336</v>
      </c>
      <c r="L53" s="35">
        <v>152960</v>
      </c>
    </row>
    <row r="54" spans="1:12" hidden="1" x14ac:dyDescent="0.25">
      <c r="A54">
        <v>0</v>
      </c>
      <c r="B54" t="s">
        <v>337</v>
      </c>
      <c r="C54" s="18">
        <v>45685</v>
      </c>
      <c r="D54" t="str">
        <f>"518"</f>
        <v>518</v>
      </c>
      <c r="E54" t="str">
        <f>"00013102"</f>
        <v>00013102</v>
      </c>
      <c r="G54" t="s">
        <v>247</v>
      </c>
      <c r="H54" t="s">
        <v>338</v>
      </c>
      <c r="L54" s="35">
        <v>19603483.02</v>
      </c>
    </row>
    <row r="55" spans="1:12" x14ac:dyDescent="0.25">
      <c r="A55">
        <v>0</v>
      </c>
      <c r="B55" t="s">
        <v>337</v>
      </c>
      <c r="C55" s="18">
        <v>45688</v>
      </c>
      <c r="D55" t="str">
        <f>"628"</f>
        <v>628</v>
      </c>
      <c r="E55" s="18">
        <v>45688</v>
      </c>
      <c r="G55" t="s">
        <v>247</v>
      </c>
      <c r="H55" t="s">
        <v>339</v>
      </c>
      <c r="L55" s="35">
        <v>10800</v>
      </c>
    </row>
    <row r="56" spans="1:12" x14ac:dyDescent="0.25">
      <c r="A56">
        <v>0</v>
      </c>
      <c r="B56" t="s">
        <v>337</v>
      </c>
      <c r="C56" s="18">
        <v>45688</v>
      </c>
      <c r="D56" t="str">
        <f>"629"</f>
        <v>629</v>
      </c>
      <c r="E56" s="18">
        <v>45808</v>
      </c>
      <c r="G56" t="s">
        <v>247</v>
      </c>
      <c r="H56" t="s">
        <v>340</v>
      </c>
      <c r="L56" s="35">
        <v>44296.25</v>
      </c>
    </row>
    <row r="57" spans="1:12" x14ac:dyDescent="0.25">
      <c r="A57">
        <v>0</v>
      </c>
      <c r="B57" t="s">
        <v>337</v>
      </c>
      <c r="C57" s="18">
        <v>45673</v>
      </c>
      <c r="D57" t="str">
        <f>"630"</f>
        <v>630</v>
      </c>
      <c r="E57" s="18">
        <v>45673</v>
      </c>
      <c r="G57" t="s">
        <v>247</v>
      </c>
      <c r="H57" t="s">
        <v>341</v>
      </c>
      <c r="L57" s="35">
        <v>3000</v>
      </c>
    </row>
    <row r="58" spans="1:12" x14ac:dyDescent="0.25">
      <c r="A58">
        <v>0</v>
      </c>
      <c r="B58" t="s">
        <v>337</v>
      </c>
      <c r="C58" s="18">
        <v>45681</v>
      </c>
      <c r="D58" t="str">
        <f>"631"</f>
        <v>631</v>
      </c>
      <c r="E58" s="18">
        <v>45681</v>
      </c>
      <c r="G58" t="s">
        <v>247</v>
      </c>
      <c r="H58" t="s">
        <v>342</v>
      </c>
      <c r="L58" s="35">
        <v>3000</v>
      </c>
    </row>
    <row r="59" spans="1:12" hidden="1" x14ac:dyDescent="0.25">
      <c r="A59">
        <v>0</v>
      </c>
      <c r="B59" t="s">
        <v>250</v>
      </c>
      <c r="C59" s="18">
        <v>45658</v>
      </c>
      <c r="D59" t="str">
        <f t="shared" ref="D59:D69" si="1">"889"</f>
        <v>889</v>
      </c>
      <c r="E59" s="18">
        <v>45647</v>
      </c>
      <c r="F59" t="s">
        <v>343</v>
      </c>
      <c r="G59" t="s">
        <v>247</v>
      </c>
      <c r="H59" t="s">
        <v>344</v>
      </c>
      <c r="L59" s="35">
        <v>32000</v>
      </c>
    </row>
    <row r="60" spans="1:12" hidden="1" x14ac:dyDescent="0.25">
      <c r="A60">
        <v>0</v>
      </c>
      <c r="B60" t="s">
        <v>250</v>
      </c>
      <c r="C60" s="18">
        <v>45658</v>
      </c>
      <c r="D60" t="str">
        <f t="shared" si="1"/>
        <v>889</v>
      </c>
      <c r="E60" s="18">
        <v>45657</v>
      </c>
      <c r="F60" t="s">
        <v>345</v>
      </c>
      <c r="G60" t="s">
        <v>247</v>
      </c>
      <c r="H60" t="s">
        <v>346</v>
      </c>
      <c r="L60" s="35">
        <v>1237520</v>
      </c>
    </row>
    <row r="61" spans="1:12" hidden="1" x14ac:dyDescent="0.25">
      <c r="A61">
        <v>0</v>
      </c>
      <c r="B61" t="s">
        <v>250</v>
      </c>
      <c r="C61" s="18">
        <v>45658</v>
      </c>
      <c r="D61" t="str">
        <f t="shared" si="1"/>
        <v>889</v>
      </c>
      <c r="E61" s="18">
        <v>45657</v>
      </c>
      <c r="F61" t="s">
        <v>347</v>
      </c>
      <c r="G61" t="s">
        <v>247</v>
      </c>
      <c r="H61" t="s">
        <v>348</v>
      </c>
      <c r="L61" s="35">
        <v>29120</v>
      </c>
    </row>
    <row r="62" spans="1:12" hidden="1" x14ac:dyDescent="0.25">
      <c r="A62">
        <v>0</v>
      </c>
      <c r="B62" t="s">
        <v>250</v>
      </c>
      <c r="C62" s="18">
        <v>45658</v>
      </c>
      <c r="D62" t="str">
        <f t="shared" si="1"/>
        <v>889</v>
      </c>
      <c r="E62" s="18">
        <v>45657</v>
      </c>
      <c r="F62" t="s">
        <v>349</v>
      </c>
      <c r="G62" t="s">
        <v>247</v>
      </c>
      <c r="H62" t="s">
        <v>350</v>
      </c>
      <c r="L62" s="35">
        <v>82880</v>
      </c>
    </row>
    <row r="63" spans="1:12" hidden="1" x14ac:dyDescent="0.25">
      <c r="A63">
        <v>0</v>
      </c>
      <c r="B63" t="s">
        <v>250</v>
      </c>
      <c r="C63" s="18">
        <v>45658</v>
      </c>
      <c r="D63" t="str">
        <f t="shared" si="1"/>
        <v>889</v>
      </c>
      <c r="E63" s="18">
        <v>45657</v>
      </c>
      <c r="F63" t="s">
        <v>351</v>
      </c>
      <c r="G63" t="s">
        <v>247</v>
      </c>
      <c r="H63" t="s">
        <v>352</v>
      </c>
      <c r="L63" s="35">
        <v>72800</v>
      </c>
    </row>
    <row r="64" spans="1:12" hidden="1" x14ac:dyDescent="0.25">
      <c r="A64">
        <v>0</v>
      </c>
      <c r="B64" t="s">
        <v>250</v>
      </c>
      <c r="C64" s="18">
        <v>45658</v>
      </c>
      <c r="D64" t="str">
        <f t="shared" si="1"/>
        <v>889</v>
      </c>
      <c r="E64" s="18">
        <v>45657</v>
      </c>
      <c r="F64" t="s">
        <v>353</v>
      </c>
      <c r="G64" t="s">
        <v>247</v>
      </c>
      <c r="H64" t="s">
        <v>354</v>
      </c>
      <c r="L64" s="35">
        <v>506960</v>
      </c>
    </row>
    <row r="65" spans="1:12" hidden="1" x14ac:dyDescent="0.25">
      <c r="A65">
        <v>0</v>
      </c>
      <c r="B65" t="s">
        <v>250</v>
      </c>
      <c r="C65" s="18">
        <v>45658</v>
      </c>
      <c r="D65" t="str">
        <f t="shared" si="1"/>
        <v>889</v>
      </c>
      <c r="E65" s="18">
        <v>45657</v>
      </c>
      <c r="F65" t="s">
        <v>355</v>
      </c>
      <c r="G65" t="s">
        <v>247</v>
      </c>
      <c r="H65" t="s">
        <v>356</v>
      </c>
      <c r="L65" s="35">
        <v>60800</v>
      </c>
    </row>
    <row r="66" spans="1:12" hidden="1" x14ac:dyDescent="0.25">
      <c r="A66">
        <v>0</v>
      </c>
      <c r="B66" t="s">
        <v>250</v>
      </c>
      <c r="C66" s="18">
        <v>45658</v>
      </c>
      <c r="D66" t="str">
        <f t="shared" si="1"/>
        <v>889</v>
      </c>
      <c r="E66" s="18">
        <v>45657</v>
      </c>
      <c r="F66" t="s">
        <v>357</v>
      </c>
      <c r="G66" t="s">
        <v>247</v>
      </c>
      <c r="H66" t="s">
        <v>358</v>
      </c>
      <c r="L66" s="35">
        <v>10080</v>
      </c>
    </row>
    <row r="67" spans="1:12" hidden="1" x14ac:dyDescent="0.25">
      <c r="A67">
        <v>0</v>
      </c>
      <c r="B67" t="s">
        <v>250</v>
      </c>
      <c r="C67" s="18">
        <v>45658</v>
      </c>
      <c r="D67" t="str">
        <f t="shared" si="1"/>
        <v>889</v>
      </c>
      <c r="E67" s="18">
        <v>45657</v>
      </c>
      <c r="F67" t="s">
        <v>359</v>
      </c>
      <c r="G67" t="s">
        <v>247</v>
      </c>
      <c r="H67" t="s">
        <v>360</v>
      </c>
      <c r="L67" s="35">
        <v>30320</v>
      </c>
    </row>
    <row r="68" spans="1:12" hidden="1" x14ac:dyDescent="0.25">
      <c r="A68">
        <v>0</v>
      </c>
      <c r="B68" t="s">
        <v>250</v>
      </c>
      <c r="C68" s="18">
        <v>45658</v>
      </c>
      <c r="D68" t="str">
        <f t="shared" si="1"/>
        <v>889</v>
      </c>
      <c r="E68" s="18">
        <v>45657</v>
      </c>
      <c r="F68" t="s">
        <v>361</v>
      </c>
      <c r="G68" t="s">
        <v>247</v>
      </c>
      <c r="H68" t="s">
        <v>362</v>
      </c>
      <c r="L68" s="35">
        <v>78160</v>
      </c>
    </row>
    <row r="69" spans="1:12" hidden="1" x14ac:dyDescent="0.25">
      <c r="A69">
        <v>0</v>
      </c>
      <c r="B69" t="s">
        <v>250</v>
      </c>
      <c r="C69" s="18">
        <v>45658</v>
      </c>
      <c r="D69" t="str">
        <f t="shared" si="1"/>
        <v>889</v>
      </c>
      <c r="E69" s="18">
        <v>45657</v>
      </c>
      <c r="F69" t="s">
        <v>363</v>
      </c>
      <c r="G69" t="s">
        <v>247</v>
      </c>
      <c r="H69" t="s">
        <v>364</v>
      </c>
      <c r="L69" s="35">
        <v>30640</v>
      </c>
    </row>
    <row r="70" spans="1:12" hidden="1" x14ac:dyDescent="0.25">
      <c r="A70">
        <v>0</v>
      </c>
      <c r="B70" t="s">
        <v>250</v>
      </c>
      <c r="C70" s="18">
        <v>45674</v>
      </c>
      <c r="D70" t="str">
        <f>"890"</f>
        <v>890</v>
      </c>
      <c r="E70" s="18">
        <v>45674</v>
      </c>
      <c r="F70" t="str">
        <f>"21900"</f>
        <v>21900</v>
      </c>
      <c r="G70" t="s">
        <v>247</v>
      </c>
      <c r="H70" t="s">
        <v>365</v>
      </c>
      <c r="L70" s="35">
        <v>19280</v>
      </c>
    </row>
    <row r="71" spans="1:12" hidden="1" x14ac:dyDescent="0.25">
      <c r="A71">
        <v>0</v>
      </c>
      <c r="B71" t="s">
        <v>250</v>
      </c>
      <c r="C71" s="18">
        <v>45688</v>
      </c>
      <c r="D71" t="str">
        <f t="shared" ref="D71:D90" si="2">"1048"</f>
        <v>1048</v>
      </c>
      <c r="E71" s="18">
        <v>45688</v>
      </c>
      <c r="F71" t="s">
        <v>366</v>
      </c>
      <c r="G71" t="s">
        <v>247</v>
      </c>
      <c r="H71" t="s">
        <v>367</v>
      </c>
      <c r="L71" s="35">
        <v>185600</v>
      </c>
    </row>
    <row r="72" spans="1:12" hidden="1" x14ac:dyDescent="0.25">
      <c r="A72">
        <v>0</v>
      </c>
      <c r="B72" t="s">
        <v>250</v>
      </c>
      <c r="C72" s="18">
        <v>45688</v>
      </c>
      <c r="D72" t="str">
        <f t="shared" si="2"/>
        <v>1048</v>
      </c>
      <c r="E72" s="18">
        <v>45688</v>
      </c>
      <c r="F72" t="s">
        <v>368</v>
      </c>
      <c r="G72" t="s">
        <v>247</v>
      </c>
      <c r="H72" t="s">
        <v>369</v>
      </c>
      <c r="L72" s="35">
        <v>124800</v>
      </c>
    </row>
    <row r="73" spans="1:12" hidden="1" x14ac:dyDescent="0.25">
      <c r="A73">
        <v>0</v>
      </c>
      <c r="B73" t="s">
        <v>250</v>
      </c>
      <c r="C73" s="18">
        <v>45688</v>
      </c>
      <c r="D73" t="str">
        <f t="shared" si="2"/>
        <v>1048</v>
      </c>
      <c r="E73" s="18">
        <v>45688</v>
      </c>
      <c r="F73" t="s">
        <v>370</v>
      </c>
      <c r="G73" t="s">
        <v>247</v>
      </c>
      <c r="H73" t="s">
        <v>371</v>
      </c>
      <c r="L73" s="35">
        <v>2045513</v>
      </c>
    </row>
    <row r="74" spans="1:12" hidden="1" x14ac:dyDescent="0.25">
      <c r="A74">
        <v>0</v>
      </c>
      <c r="B74" t="s">
        <v>250</v>
      </c>
      <c r="C74" s="18">
        <v>45688</v>
      </c>
      <c r="D74" t="str">
        <f t="shared" si="2"/>
        <v>1048</v>
      </c>
      <c r="E74" s="18">
        <v>45688</v>
      </c>
      <c r="F74" t="s">
        <v>372</v>
      </c>
      <c r="G74" t="s">
        <v>247</v>
      </c>
      <c r="H74" t="s">
        <v>373</v>
      </c>
      <c r="L74" s="35">
        <v>739360</v>
      </c>
    </row>
    <row r="75" spans="1:12" hidden="1" x14ac:dyDescent="0.25">
      <c r="A75">
        <v>0</v>
      </c>
      <c r="B75" t="s">
        <v>250</v>
      </c>
      <c r="C75" s="18">
        <v>45688</v>
      </c>
      <c r="D75" t="str">
        <f t="shared" si="2"/>
        <v>1048</v>
      </c>
      <c r="E75" s="18">
        <v>45688</v>
      </c>
      <c r="F75" t="s">
        <v>374</v>
      </c>
      <c r="G75" t="s">
        <v>247</v>
      </c>
      <c r="H75" t="s">
        <v>375</v>
      </c>
      <c r="L75" s="35">
        <v>160000</v>
      </c>
    </row>
    <row r="76" spans="1:12" hidden="1" x14ac:dyDescent="0.25">
      <c r="A76">
        <v>0</v>
      </c>
      <c r="B76" t="s">
        <v>250</v>
      </c>
      <c r="C76" s="18">
        <v>45688</v>
      </c>
      <c r="D76" t="str">
        <f t="shared" si="2"/>
        <v>1048</v>
      </c>
      <c r="E76" s="18">
        <v>45688</v>
      </c>
      <c r="F76" t="s">
        <v>376</v>
      </c>
      <c r="G76" t="s">
        <v>247</v>
      </c>
      <c r="H76" t="s">
        <v>377</v>
      </c>
      <c r="L76" s="35">
        <v>674800</v>
      </c>
    </row>
    <row r="77" spans="1:12" hidden="1" x14ac:dyDescent="0.25">
      <c r="A77">
        <v>0</v>
      </c>
      <c r="B77" t="s">
        <v>250</v>
      </c>
      <c r="C77" s="18">
        <v>45688</v>
      </c>
      <c r="D77" t="str">
        <f t="shared" si="2"/>
        <v>1048</v>
      </c>
      <c r="E77" s="18">
        <v>45688</v>
      </c>
      <c r="F77" t="s">
        <v>378</v>
      </c>
      <c r="G77" t="s">
        <v>247</v>
      </c>
      <c r="H77" t="s">
        <v>379</v>
      </c>
      <c r="L77" s="35">
        <v>1169460</v>
      </c>
    </row>
    <row r="78" spans="1:12" hidden="1" x14ac:dyDescent="0.25">
      <c r="A78">
        <v>0</v>
      </c>
      <c r="B78" t="s">
        <v>250</v>
      </c>
      <c r="C78" s="18">
        <v>45688</v>
      </c>
      <c r="D78" t="str">
        <f t="shared" si="2"/>
        <v>1048</v>
      </c>
      <c r="E78" s="18">
        <v>45688</v>
      </c>
      <c r="F78" t="s">
        <v>380</v>
      </c>
      <c r="G78" t="s">
        <v>247</v>
      </c>
      <c r="H78" t="s">
        <v>381</v>
      </c>
      <c r="L78" s="35">
        <v>40000</v>
      </c>
    </row>
    <row r="79" spans="1:12" hidden="1" x14ac:dyDescent="0.25">
      <c r="A79">
        <v>0</v>
      </c>
      <c r="B79" t="s">
        <v>250</v>
      </c>
      <c r="C79" s="18">
        <v>45688</v>
      </c>
      <c r="D79" t="str">
        <f t="shared" si="2"/>
        <v>1048</v>
      </c>
      <c r="E79" s="18">
        <v>45688</v>
      </c>
      <c r="F79" t="s">
        <v>382</v>
      </c>
      <c r="G79" t="s">
        <v>247</v>
      </c>
      <c r="H79" t="s">
        <v>383</v>
      </c>
      <c r="L79" s="35">
        <v>32000</v>
      </c>
    </row>
    <row r="80" spans="1:12" hidden="1" x14ac:dyDescent="0.25">
      <c r="A80">
        <v>0</v>
      </c>
      <c r="B80" t="s">
        <v>250</v>
      </c>
      <c r="C80" s="18">
        <v>45688</v>
      </c>
      <c r="D80" t="str">
        <f t="shared" si="2"/>
        <v>1048</v>
      </c>
      <c r="E80" s="18">
        <v>45688</v>
      </c>
      <c r="F80" t="str">
        <f>"2836"</f>
        <v>2836</v>
      </c>
      <c r="G80" t="s">
        <v>247</v>
      </c>
      <c r="H80" t="s">
        <v>384</v>
      </c>
      <c r="L80" s="35">
        <v>102320</v>
      </c>
    </row>
    <row r="81" spans="1:12" hidden="1" x14ac:dyDescent="0.25">
      <c r="A81">
        <v>0</v>
      </c>
      <c r="B81" t="s">
        <v>250</v>
      </c>
      <c r="C81" s="18">
        <v>45688</v>
      </c>
      <c r="D81" t="str">
        <f t="shared" si="2"/>
        <v>1048</v>
      </c>
      <c r="E81" s="18">
        <v>45688</v>
      </c>
      <c r="F81" t="s">
        <v>385</v>
      </c>
      <c r="G81" t="s">
        <v>247</v>
      </c>
      <c r="H81" t="s">
        <v>386</v>
      </c>
      <c r="L81" s="35">
        <v>37040</v>
      </c>
    </row>
    <row r="82" spans="1:12" hidden="1" x14ac:dyDescent="0.25">
      <c r="A82">
        <v>0</v>
      </c>
      <c r="B82" t="s">
        <v>250</v>
      </c>
      <c r="C82" s="18">
        <v>45688</v>
      </c>
      <c r="D82" t="str">
        <f t="shared" si="2"/>
        <v>1048</v>
      </c>
      <c r="E82" s="18">
        <v>45688</v>
      </c>
      <c r="F82" t="s">
        <v>387</v>
      </c>
      <c r="G82" t="s">
        <v>247</v>
      </c>
      <c r="H82" t="s">
        <v>388</v>
      </c>
      <c r="L82" s="35">
        <v>181520</v>
      </c>
    </row>
    <row r="83" spans="1:12" hidden="1" x14ac:dyDescent="0.25">
      <c r="A83">
        <v>0</v>
      </c>
      <c r="B83" t="s">
        <v>250</v>
      </c>
      <c r="C83" s="18">
        <v>45688</v>
      </c>
      <c r="D83" t="str">
        <f t="shared" si="2"/>
        <v>1048</v>
      </c>
      <c r="E83" s="18">
        <v>45688</v>
      </c>
      <c r="F83" t="str">
        <f>"001778"</f>
        <v>001778</v>
      </c>
      <c r="G83" t="s">
        <v>247</v>
      </c>
      <c r="H83" t="s">
        <v>389</v>
      </c>
      <c r="L83" s="35">
        <v>164720</v>
      </c>
    </row>
    <row r="84" spans="1:12" hidden="1" x14ac:dyDescent="0.25">
      <c r="A84">
        <v>0</v>
      </c>
      <c r="B84" t="s">
        <v>250</v>
      </c>
      <c r="C84" s="18">
        <v>45688</v>
      </c>
      <c r="D84" t="str">
        <f t="shared" si="2"/>
        <v>1048</v>
      </c>
      <c r="E84" s="18">
        <v>45688</v>
      </c>
      <c r="F84" t="s">
        <v>390</v>
      </c>
      <c r="G84" t="s">
        <v>247</v>
      </c>
      <c r="H84" t="s">
        <v>391</v>
      </c>
      <c r="L84" s="35">
        <v>406080</v>
      </c>
    </row>
    <row r="85" spans="1:12" hidden="1" x14ac:dyDescent="0.25">
      <c r="A85">
        <v>0</v>
      </c>
      <c r="B85" t="s">
        <v>250</v>
      </c>
      <c r="C85" s="18">
        <v>45688</v>
      </c>
      <c r="D85" t="str">
        <f t="shared" si="2"/>
        <v>1048</v>
      </c>
      <c r="E85" s="18">
        <v>45688</v>
      </c>
      <c r="F85" t="s">
        <v>392</v>
      </c>
      <c r="G85" t="s">
        <v>247</v>
      </c>
      <c r="H85" t="s">
        <v>393</v>
      </c>
      <c r="L85" s="35">
        <v>64800</v>
      </c>
    </row>
    <row r="86" spans="1:12" hidden="1" x14ac:dyDescent="0.25">
      <c r="A86">
        <v>0</v>
      </c>
      <c r="B86" t="s">
        <v>250</v>
      </c>
      <c r="C86" s="18">
        <v>45688</v>
      </c>
      <c r="D86" t="str">
        <f t="shared" si="2"/>
        <v>1048</v>
      </c>
      <c r="E86" s="18">
        <v>45688</v>
      </c>
      <c r="F86" t="s">
        <v>394</v>
      </c>
      <c r="G86" t="s">
        <v>247</v>
      </c>
      <c r="H86" t="s">
        <v>395</v>
      </c>
      <c r="L86" s="35">
        <v>202080</v>
      </c>
    </row>
    <row r="87" spans="1:12" hidden="1" x14ac:dyDescent="0.25">
      <c r="A87">
        <v>0</v>
      </c>
      <c r="B87" t="s">
        <v>250</v>
      </c>
      <c r="C87" s="18">
        <v>45688</v>
      </c>
      <c r="D87" t="str">
        <f t="shared" si="2"/>
        <v>1048</v>
      </c>
      <c r="E87" s="18">
        <v>45688</v>
      </c>
      <c r="F87" t="s">
        <v>396</v>
      </c>
      <c r="G87" t="s">
        <v>247</v>
      </c>
      <c r="H87" t="s">
        <v>397</v>
      </c>
      <c r="L87" s="35">
        <v>18560</v>
      </c>
    </row>
    <row r="88" spans="1:12" hidden="1" x14ac:dyDescent="0.25">
      <c r="A88">
        <v>0</v>
      </c>
      <c r="B88" t="s">
        <v>250</v>
      </c>
      <c r="C88" s="18">
        <v>45688</v>
      </c>
      <c r="D88" t="str">
        <f t="shared" si="2"/>
        <v>1048</v>
      </c>
      <c r="E88" s="18">
        <v>45688</v>
      </c>
      <c r="F88" t="s">
        <v>398</v>
      </c>
      <c r="G88" t="s">
        <v>247</v>
      </c>
      <c r="H88" t="s">
        <v>399</v>
      </c>
      <c r="L88" s="35">
        <v>16000</v>
      </c>
    </row>
    <row r="89" spans="1:12" hidden="1" x14ac:dyDescent="0.25">
      <c r="A89">
        <v>0</v>
      </c>
      <c r="B89" t="s">
        <v>250</v>
      </c>
      <c r="C89" s="18">
        <v>45688</v>
      </c>
      <c r="D89" t="str">
        <f t="shared" si="2"/>
        <v>1048</v>
      </c>
      <c r="E89" s="18">
        <v>45688</v>
      </c>
      <c r="F89" t="s">
        <v>400</v>
      </c>
      <c r="G89" t="s">
        <v>247</v>
      </c>
      <c r="H89" t="s">
        <v>401</v>
      </c>
      <c r="L89" s="35">
        <v>1000000</v>
      </c>
    </row>
    <row r="90" spans="1:12" hidden="1" x14ac:dyDescent="0.25">
      <c r="A90">
        <v>0</v>
      </c>
      <c r="B90" t="s">
        <v>250</v>
      </c>
      <c r="C90" s="18">
        <v>45688</v>
      </c>
      <c r="D90" t="str">
        <f t="shared" si="2"/>
        <v>1048</v>
      </c>
      <c r="E90" s="18">
        <v>45688</v>
      </c>
      <c r="F90" t="s">
        <v>402</v>
      </c>
      <c r="G90" t="s">
        <v>247</v>
      </c>
      <c r="H90" t="s">
        <v>403</v>
      </c>
      <c r="L90" s="35">
        <v>96000</v>
      </c>
    </row>
    <row r="91" spans="1:12" hidden="1" x14ac:dyDescent="0.25">
      <c r="A91">
        <v>0</v>
      </c>
      <c r="B91" t="s">
        <v>250</v>
      </c>
      <c r="C91" s="18">
        <v>45695</v>
      </c>
      <c r="D91" t="str">
        <f>"1651"</f>
        <v>1651</v>
      </c>
      <c r="E91" s="18">
        <v>45695</v>
      </c>
      <c r="F91" t="str">
        <f>"22073"</f>
        <v>22073</v>
      </c>
      <c r="G91" t="s">
        <v>247</v>
      </c>
      <c r="H91" t="s">
        <v>404</v>
      </c>
      <c r="L91" s="35">
        <v>162018</v>
      </c>
    </row>
    <row r="92" spans="1:12" hidden="1" x14ac:dyDescent="0.25">
      <c r="A92">
        <v>0</v>
      </c>
      <c r="B92" t="s">
        <v>250</v>
      </c>
      <c r="C92" s="18">
        <v>45689</v>
      </c>
      <c r="D92" t="str">
        <f>"1653"</f>
        <v>1653</v>
      </c>
      <c r="E92" s="18">
        <v>45689</v>
      </c>
      <c r="F92" t="str">
        <f>"22024"</f>
        <v>22024</v>
      </c>
      <c r="G92" t="s">
        <v>247</v>
      </c>
      <c r="H92" t="s">
        <v>405</v>
      </c>
      <c r="L92" s="35">
        <v>1825000</v>
      </c>
    </row>
    <row r="93" spans="1:12" hidden="1" x14ac:dyDescent="0.25">
      <c r="A93">
        <v>0</v>
      </c>
      <c r="B93" t="s">
        <v>250</v>
      </c>
      <c r="C93" s="18">
        <v>45709</v>
      </c>
      <c r="D93" t="str">
        <f>"2042"</f>
        <v>2042</v>
      </c>
      <c r="E93" s="18">
        <v>45709</v>
      </c>
      <c r="F93" t="str">
        <f>"22374"</f>
        <v>22374</v>
      </c>
      <c r="G93" t="s">
        <v>247</v>
      </c>
      <c r="H93" t="s">
        <v>406</v>
      </c>
      <c r="L93" s="35">
        <v>535240</v>
      </c>
    </row>
    <row r="94" spans="1:12" x14ac:dyDescent="0.25">
      <c r="A94">
        <v>0</v>
      </c>
      <c r="B94" t="s">
        <v>407</v>
      </c>
      <c r="C94" s="18">
        <v>45716</v>
      </c>
      <c r="D94" t="str">
        <f>"2077"</f>
        <v>2077</v>
      </c>
      <c r="E94" s="18">
        <v>45716</v>
      </c>
      <c r="F94" t="str">
        <f>"22374"</f>
        <v>22374</v>
      </c>
      <c r="G94" t="s">
        <v>247</v>
      </c>
      <c r="H94" t="s">
        <v>408</v>
      </c>
      <c r="L94" s="35">
        <v>2500</v>
      </c>
    </row>
    <row r="95" spans="1:12" x14ac:dyDescent="0.25">
      <c r="A95">
        <v>0</v>
      </c>
      <c r="B95" t="s">
        <v>337</v>
      </c>
      <c r="C95" s="18">
        <v>45716</v>
      </c>
      <c r="D95" t="str">
        <f>"2094"</f>
        <v>2094</v>
      </c>
      <c r="E95" s="18">
        <v>45716</v>
      </c>
      <c r="G95" t="s">
        <v>247</v>
      </c>
      <c r="H95" t="s">
        <v>409</v>
      </c>
      <c r="L95" s="35">
        <v>10800</v>
      </c>
    </row>
    <row r="96" spans="1:12" x14ac:dyDescent="0.25">
      <c r="A96">
        <v>0</v>
      </c>
      <c r="B96" t="s">
        <v>337</v>
      </c>
      <c r="C96" s="18">
        <v>45716</v>
      </c>
      <c r="D96" t="str">
        <f>"2095"</f>
        <v>2095</v>
      </c>
      <c r="E96" s="18">
        <v>45716</v>
      </c>
      <c r="G96" t="s">
        <v>247</v>
      </c>
      <c r="H96" t="s">
        <v>410</v>
      </c>
      <c r="L96" s="35">
        <v>78959.28</v>
      </c>
    </row>
    <row r="97" spans="1:12" x14ac:dyDescent="0.25">
      <c r="A97">
        <v>0</v>
      </c>
      <c r="B97" t="s">
        <v>337</v>
      </c>
      <c r="C97" s="18">
        <v>45698</v>
      </c>
      <c r="D97" t="str">
        <f>"2097"</f>
        <v>2097</v>
      </c>
      <c r="E97" s="18">
        <v>45698</v>
      </c>
      <c r="G97" t="s">
        <v>247</v>
      </c>
      <c r="H97" t="s">
        <v>411</v>
      </c>
      <c r="L97" s="35">
        <v>3000</v>
      </c>
    </row>
    <row r="98" spans="1:12" x14ac:dyDescent="0.25">
      <c r="A98">
        <v>0</v>
      </c>
      <c r="B98" t="s">
        <v>337</v>
      </c>
      <c r="C98" s="18">
        <v>45698</v>
      </c>
      <c r="D98" t="str">
        <f>"2099"</f>
        <v>2099</v>
      </c>
      <c r="E98" s="18">
        <v>45698</v>
      </c>
      <c r="G98" t="s">
        <v>247</v>
      </c>
      <c r="H98" t="s">
        <v>412</v>
      </c>
      <c r="L98" s="35">
        <v>9600</v>
      </c>
    </row>
    <row r="99" spans="1:12" x14ac:dyDescent="0.25">
      <c r="A99">
        <v>0</v>
      </c>
      <c r="B99" t="s">
        <v>337</v>
      </c>
      <c r="C99" s="18">
        <v>45706</v>
      </c>
      <c r="D99" t="str">
        <f>"2100"</f>
        <v>2100</v>
      </c>
      <c r="E99" s="18">
        <v>45706</v>
      </c>
      <c r="G99" t="s">
        <v>247</v>
      </c>
      <c r="H99" t="s">
        <v>413</v>
      </c>
      <c r="L99" s="35">
        <v>3000</v>
      </c>
    </row>
    <row r="100" spans="1:12" x14ac:dyDescent="0.25">
      <c r="A100">
        <v>0</v>
      </c>
      <c r="B100" t="s">
        <v>337</v>
      </c>
      <c r="C100" s="18">
        <v>45709</v>
      </c>
      <c r="D100" t="str">
        <f>"2101"</f>
        <v>2101</v>
      </c>
      <c r="E100" s="18">
        <v>45709</v>
      </c>
      <c r="G100" t="s">
        <v>247</v>
      </c>
      <c r="H100" t="s">
        <v>414</v>
      </c>
      <c r="L100" s="35">
        <v>9600</v>
      </c>
    </row>
    <row r="101" spans="1:12" x14ac:dyDescent="0.25">
      <c r="A101">
        <v>0</v>
      </c>
      <c r="B101" t="s">
        <v>337</v>
      </c>
      <c r="C101" s="18">
        <v>45709</v>
      </c>
      <c r="D101" t="str">
        <f>"2103"</f>
        <v>2103</v>
      </c>
      <c r="E101" s="18">
        <v>45709</v>
      </c>
      <c r="G101" t="s">
        <v>247</v>
      </c>
      <c r="H101" t="s">
        <v>414</v>
      </c>
      <c r="L101" s="35">
        <v>9600</v>
      </c>
    </row>
    <row r="102" spans="1:12" hidden="1" x14ac:dyDescent="0.25">
      <c r="A102">
        <v>0</v>
      </c>
      <c r="B102" t="s">
        <v>250</v>
      </c>
      <c r="C102" s="18">
        <v>45716</v>
      </c>
      <c r="D102" t="str">
        <f t="shared" ref="D102:D118" si="3">"2484"</f>
        <v>2484</v>
      </c>
      <c r="E102" s="18">
        <v>45716</v>
      </c>
      <c r="F102" t="s">
        <v>415</v>
      </c>
      <c r="G102" t="s">
        <v>247</v>
      </c>
      <c r="H102" t="s">
        <v>416</v>
      </c>
      <c r="L102" s="35">
        <v>56000</v>
      </c>
    </row>
    <row r="103" spans="1:12" hidden="1" x14ac:dyDescent="0.25">
      <c r="A103">
        <v>0</v>
      </c>
      <c r="B103" t="s">
        <v>250</v>
      </c>
      <c r="C103" s="18">
        <v>45716</v>
      </c>
      <c r="D103" t="str">
        <f t="shared" si="3"/>
        <v>2484</v>
      </c>
      <c r="E103" s="18">
        <v>45716</v>
      </c>
      <c r="F103" t="s">
        <v>417</v>
      </c>
      <c r="G103" t="s">
        <v>247</v>
      </c>
      <c r="H103" t="s">
        <v>418</v>
      </c>
      <c r="L103" s="35">
        <v>32000</v>
      </c>
    </row>
    <row r="104" spans="1:12" hidden="1" x14ac:dyDescent="0.25">
      <c r="A104">
        <v>0</v>
      </c>
      <c r="B104" t="s">
        <v>250</v>
      </c>
      <c r="C104" s="18">
        <v>45716</v>
      </c>
      <c r="D104" t="str">
        <f t="shared" si="3"/>
        <v>2484</v>
      </c>
      <c r="E104" s="18">
        <v>45716</v>
      </c>
      <c r="F104" t="s">
        <v>419</v>
      </c>
      <c r="G104" t="s">
        <v>247</v>
      </c>
      <c r="H104" t="s">
        <v>420</v>
      </c>
      <c r="L104" s="35">
        <v>970840</v>
      </c>
    </row>
    <row r="105" spans="1:12" hidden="1" x14ac:dyDescent="0.25">
      <c r="A105">
        <v>0</v>
      </c>
      <c r="B105" t="s">
        <v>250</v>
      </c>
      <c r="C105" s="18">
        <v>45716</v>
      </c>
      <c r="D105" t="str">
        <f t="shared" si="3"/>
        <v>2484</v>
      </c>
      <c r="E105" s="18">
        <v>45716</v>
      </c>
      <c r="F105" t="str">
        <f>"349027"</f>
        <v>349027</v>
      </c>
      <c r="G105" t="s">
        <v>247</v>
      </c>
      <c r="H105" t="s">
        <v>421</v>
      </c>
      <c r="L105" s="35">
        <v>1674240</v>
      </c>
    </row>
    <row r="106" spans="1:12" hidden="1" x14ac:dyDescent="0.25">
      <c r="A106">
        <v>0</v>
      </c>
      <c r="B106" t="s">
        <v>250</v>
      </c>
      <c r="C106" s="18">
        <v>45716</v>
      </c>
      <c r="D106" t="str">
        <f t="shared" si="3"/>
        <v>2484</v>
      </c>
      <c r="E106" s="18">
        <v>45716</v>
      </c>
      <c r="F106" t="str">
        <f>"382178"</f>
        <v>382178</v>
      </c>
      <c r="G106" t="s">
        <v>247</v>
      </c>
      <c r="H106" t="s">
        <v>422</v>
      </c>
      <c r="L106" s="35">
        <v>16000</v>
      </c>
    </row>
    <row r="107" spans="1:12" hidden="1" x14ac:dyDescent="0.25">
      <c r="A107">
        <v>0</v>
      </c>
      <c r="B107" t="s">
        <v>250</v>
      </c>
      <c r="C107" s="18">
        <v>45716</v>
      </c>
      <c r="D107" t="str">
        <f t="shared" si="3"/>
        <v>2484</v>
      </c>
      <c r="E107" s="18">
        <v>45716</v>
      </c>
      <c r="F107" t="s">
        <v>423</v>
      </c>
      <c r="G107" t="s">
        <v>247</v>
      </c>
      <c r="H107" t="s">
        <v>424</v>
      </c>
      <c r="L107" s="35">
        <v>606400</v>
      </c>
    </row>
    <row r="108" spans="1:12" hidden="1" x14ac:dyDescent="0.25">
      <c r="A108">
        <v>0</v>
      </c>
      <c r="B108" t="s">
        <v>250</v>
      </c>
      <c r="C108" s="18">
        <v>45716</v>
      </c>
      <c r="D108" t="str">
        <f t="shared" si="3"/>
        <v>2484</v>
      </c>
      <c r="E108" s="18">
        <v>45716</v>
      </c>
      <c r="F108" t="s">
        <v>425</v>
      </c>
      <c r="G108" t="s">
        <v>247</v>
      </c>
      <c r="H108" t="s">
        <v>426</v>
      </c>
      <c r="L108" s="35">
        <v>73440</v>
      </c>
    </row>
    <row r="109" spans="1:12" hidden="1" x14ac:dyDescent="0.25">
      <c r="A109">
        <v>0</v>
      </c>
      <c r="B109" t="s">
        <v>250</v>
      </c>
      <c r="C109" s="18">
        <v>45716</v>
      </c>
      <c r="D109" t="str">
        <f t="shared" si="3"/>
        <v>2484</v>
      </c>
      <c r="E109" s="18">
        <v>45716</v>
      </c>
      <c r="F109" t="s">
        <v>427</v>
      </c>
      <c r="G109" t="s">
        <v>247</v>
      </c>
      <c r="H109" t="s">
        <v>428</v>
      </c>
      <c r="L109" s="35">
        <v>72320</v>
      </c>
    </row>
    <row r="110" spans="1:12" hidden="1" x14ac:dyDescent="0.25">
      <c r="A110">
        <v>0</v>
      </c>
      <c r="B110" t="s">
        <v>250</v>
      </c>
      <c r="C110" s="18">
        <v>45716</v>
      </c>
      <c r="D110" t="str">
        <f t="shared" si="3"/>
        <v>2484</v>
      </c>
      <c r="E110" s="18">
        <v>45716</v>
      </c>
      <c r="F110" t="s">
        <v>429</v>
      </c>
      <c r="G110" t="s">
        <v>247</v>
      </c>
      <c r="H110" t="s">
        <v>430</v>
      </c>
      <c r="L110" s="35">
        <v>169360</v>
      </c>
    </row>
    <row r="111" spans="1:12" hidden="1" x14ac:dyDescent="0.25">
      <c r="A111">
        <v>0</v>
      </c>
      <c r="B111" t="s">
        <v>250</v>
      </c>
      <c r="C111" s="18">
        <v>45716</v>
      </c>
      <c r="D111" t="str">
        <f t="shared" si="3"/>
        <v>2484</v>
      </c>
      <c r="E111" s="18">
        <v>45716</v>
      </c>
      <c r="F111" t="s">
        <v>431</v>
      </c>
      <c r="G111" t="s">
        <v>247</v>
      </c>
      <c r="H111" t="s">
        <v>432</v>
      </c>
      <c r="L111" s="35">
        <v>563360</v>
      </c>
    </row>
    <row r="112" spans="1:12" hidden="1" x14ac:dyDescent="0.25">
      <c r="A112">
        <v>0</v>
      </c>
      <c r="B112" t="s">
        <v>250</v>
      </c>
      <c r="C112" s="18">
        <v>45716</v>
      </c>
      <c r="D112" t="str">
        <f t="shared" si="3"/>
        <v>2484</v>
      </c>
      <c r="E112" s="18">
        <v>45716</v>
      </c>
      <c r="F112" t="s">
        <v>433</v>
      </c>
      <c r="G112" t="s">
        <v>247</v>
      </c>
      <c r="H112" t="s">
        <v>434</v>
      </c>
      <c r="L112" s="35">
        <v>84640</v>
      </c>
    </row>
    <row r="113" spans="1:13" hidden="1" x14ac:dyDescent="0.25">
      <c r="A113">
        <v>0</v>
      </c>
      <c r="B113" t="s">
        <v>250</v>
      </c>
      <c r="C113" s="18">
        <v>45716</v>
      </c>
      <c r="D113" t="str">
        <f t="shared" si="3"/>
        <v>2484</v>
      </c>
      <c r="E113" s="18">
        <v>45716</v>
      </c>
      <c r="F113" t="s">
        <v>435</v>
      </c>
      <c r="G113" t="s">
        <v>247</v>
      </c>
      <c r="H113" t="s">
        <v>436</v>
      </c>
      <c r="L113" s="35">
        <v>236160</v>
      </c>
    </row>
    <row r="114" spans="1:13" hidden="1" x14ac:dyDescent="0.25">
      <c r="A114">
        <v>0</v>
      </c>
      <c r="B114" t="s">
        <v>250</v>
      </c>
      <c r="C114" s="18">
        <v>45716</v>
      </c>
      <c r="D114" t="str">
        <f t="shared" si="3"/>
        <v>2484</v>
      </c>
      <c r="E114" s="18">
        <v>45716</v>
      </c>
      <c r="F114" t="s">
        <v>437</v>
      </c>
      <c r="G114" t="s">
        <v>247</v>
      </c>
      <c r="H114" t="s">
        <v>438</v>
      </c>
      <c r="L114" s="35">
        <v>119360</v>
      </c>
    </row>
    <row r="115" spans="1:13" hidden="1" x14ac:dyDescent="0.25">
      <c r="A115">
        <v>0</v>
      </c>
      <c r="B115" t="s">
        <v>250</v>
      </c>
      <c r="C115" s="18">
        <v>45716</v>
      </c>
      <c r="D115" t="str">
        <f t="shared" si="3"/>
        <v>2484</v>
      </c>
      <c r="E115" s="18">
        <v>45716</v>
      </c>
      <c r="F115" t="s">
        <v>439</v>
      </c>
      <c r="G115" t="s">
        <v>247</v>
      </c>
      <c r="H115" t="s">
        <v>440</v>
      </c>
      <c r="L115" s="35">
        <v>35920</v>
      </c>
    </row>
    <row r="116" spans="1:13" hidden="1" x14ac:dyDescent="0.25">
      <c r="A116">
        <v>0</v>
      </c>
      <c r="B116" t="s">
        <v>250</v>
      </c>
      <c r="C116" s="18">
        <v>45716</v>
      </c>
      <c r="D116" t="str">
        <f t="shared" si="3"/>
        <v>2484</v>
      </c>
      <c r="E116" s="18">
        <v>45716</v>
      </c>
      <c r="F116" t="s">
        <v>441</v>
      </c>
      <c r="G116" t="s">
        <v>247</v>
      </c>
      <c r="H116" t="s">
        <v>442</v>
      </c>
      <c r="L116" s="35">
        <v>12800</v>
      </c>
    </row>
    <row r="117" spans="1:13" hidden="1" x14ac:dyDescent="0.25">
      <c r="A117">
        <v>0</v>
      </c>
      <c r="B117" t="s">
        <v>250</v>
      </c>
      <c r="C117" s="18">
        <v>45716</v>
      </c>
      <c r="D117" t="str">
        <f t="shared" si="3"/>
        <v>2484</v>
      </c>
      <c r="E117" s="18">
        <v>45716</v>
      </c>
      <c r="F117" t="s">
        <v>443</v>
      </c>
      <c r="G117" t="s">
        <v>247</v>
      </c>
      <c r="H117" t="s">
        <v>444</v>
      </c>
      <c r="L117" s="35">
        <v>32000</v>
      </c>
    </row>
    <row r="118" spans="1:13" hidden="1" x14ac:dyDescent="0.25">
      <c r="A118">
        <v>0</v>
      </c>
      <c r="B118" t="s">
        <v>250</v>
      </c>
      <c r="C118" s="18">
        <v>45716</v>
      </c>
      <c r="D118" t="str">
        <f t="shared" si="3"/>
        <v>2484</v>
      </c>
      <c r="E118" s="18">
        <v>45716</v>
      </c>
      <c r="F118" t="s">
        <v>445</v>
      </c>
      <c r="G118" t="s">
        <v>247</v>
      </c>
      <c r="H118" t="s">
        <v>446</v>
      </c>
      <c r="L118" s="35">
        <v>96000</v>
      </c>
    </row>
    <row r="119" spans="1:13" hidden="1" x14ac:dyDescent="0.25">
      <c r="A119">
        <v>0</v>
      </c>
      <c r="B119" t="s">
        <v>250</v>
      </c>
      <c r="C119" s="18">
        <v>45716</v>
      </c>
      <c r="D119" t="str">
        <f>"2569"</f>
        <v>2569</v>
      </c>
      <c r="E119" s="18">
        <v>45716</v>
      </c>
      <c r="F119" t="str">
        <f>"22622"</f>
        <v>22622</v>
      </c>
      <c r="G119" t="s">
        <v>247</v>
      </c>
      <c r="H119" t="s">
        <v>447</v>
      </c>
      <c r="L119" s="35">
        <v>29120</v>
      </c>
    </row>
    <row r="120" spans="1:13" hidden="1" x14ac:dyDescent="0.25">
      <c r="A120">
        <v>0</v>
      </c>
      <c r="B120" t="s">
        <v>250</v>
      </c>
      <c r="C120" s="18">
        <v>45721</v>
      </c>
      <c r="D120" t="str">
        <f>"2641"</f>
        <v>2641</v>
      </c>
      <c r="E120" s="18">
        <v>45721</v>
      </c>
      <c r="F120" t="s">
        <v>448</v>
      </c>
      <c r="G120" t="s">
        <v>247</v>
      </c>
      <c r="H120" t="s">
        <v>449</v>
      </c>
      <c r="M120" s="35">
        <v>5810704.1900000004</v>
      </c>
    </row>
    <row r="121" spans="1:13" hidden="1" x14ac:dyDescent="0.25">
      <c r="A121">
        <v>0</v>
      </c>
      <c r="B121" t="s">
        <v>250</v>
      </c>
      <c r="C121" s="18">
        <v>45723</v>
      </c>
      <c r="D121" t="str">
        <f>"2653"</f>
        <v>2653</v>
      </c>
      <c r="E121" s="18">
        <v>45723</v>
      </c>
      <c r="F121" t="str">
        <f>"22593"</f>
        <v>22593</v>
      </c>
      <c r="G121" t="s">
        <v>247</v>
      </c>
      <c r="H121" t="s">
        <v>450</v>
      </c>
      <c r="L121" s="35">
        <v>539040</v>
      </c>
    </row>
    <row r="122" spans="1:13" x14ac:dyDescent="0.25">
      <c r="A122">
        <v>0</v>
      </c>
      <c r="B122" t="s">
        <v>407</v>
      </c>
      <c r="C122" s="18">
        <v>45734</v>
      </c>
      <c r="D122" t="str">
        <f>"2763"</f>
        <v>2763</v>
      </c>
      <c r="E122" s="18">
        <v>45734</v>
      </c>
      <c r="F122" t="str">
        <f>"22593"</f>
        <v>22593</v>
      </c>
      <c r="G122" t="s">
        <v>247</v>
      </c>
      <c r="H122" t="s">
        <v>451</v>
      </c>
      <c r="L122" s="35">
        <v>2500</v>
      </c>
    </row>
    <row r="123" spans="1:13" x14ac:dyDescent="0.25">
      <c r="A123">
        <v>0</v>
      </c>
      <c r="B123" t="s">
        <v>337</v>
      </c>
      <c r="C123" s="18">
        <v>45744</v>
      </c>
      <c r="D123" t="str">
        <f>"3149"</f>
        <v>3149</v>
      </c>
      <c r="E123" s="18">
        <v>45744</v>
      </c>
      <c r="G123" t="s">
        <v>247</v>
      </c>
      <c r="H123" t="s">
        <v>452</v>
      </c>
      <c r="L123" s="35">
        <v>11674.94</v>
      </c>
    </row>
    <row r="124" spans="1:13" x14ac:dyDescent="0.25">
      <c r="A124">
        <v>0</v>
      </c>
      <c r="B124" t="s">
        <v>337</v>
      </c>
      <c r="C124" s="18">
        <v>45744</v>
      </c>
      <c r="D124" t="str">
        <f>"3150"</f>
        <v>3150</v>
      </c>
      <c r="E124" s="18">
        <v>45744</v>
      </c>
      <c r="G124" t="s">
        <v>247</v>
      </c>
      <c r="H124" t="s">
        <v>453</v>
      </c>
      <c r="L124" s="35">
        <v>10800</v>
      </c>
    </row>
    <row r="125" spans="1:13" x14ac:dyDescent="0.25">
      <c r="A125">
        <v>0</v>
      </c>
      <c r="B125" t="s">
        <v>337</v>
      </c>
      <c r="C125" s="18">
        <v>45743</v>
      </c>
      <c r="D125" t="str">
        <f>"3151"</f>
        <v>3151</v>
      </c>
      <c r="E125" s="18">
        <v>45743</v>
      </c>
      <c r="G125" t="s">
        <v>247</v>
      </c>
      <c r="H125" t="s">
        <v>454</v>
      </c>
      <c r="L125" s="35">
        <v>3000</v>
      </c>
    </row>
    <row r="126" spans="1:13" x14ac:dyDescent="0.25">
      <c r="A126">
        <v>0</v>
      </c>
      <c r="B126" t="s">
        <v>337</v>
      </c>
      <c r="C126" s="18">
        <v>45743</v>
      </c>
      <c r="D126" t="str">
        <f>"3152"</f>
        <v>3152</v>
      </c>
      <c r="E126" s="18">
        <v>45743</v>
      </c>
      <c r="G126" t="s">
        <v>247</v>
      </c>
      <c r="H126" t="s">
        <v>455</v>
      </c>
      <c r="L126" s="35">
        <v>9600</v>
      </c>
    </row>
    <row r="127" spans="1:13" hidden="1" x14ac:dyDescent="0.25">
      <c r="A127">
        <v>0</v>
      </c>
      <c r="B127" t="s">
        <v>250</v>
      </c>
      <c r="C127" s="18">
        <v>45747</v>
      </c>
      <c r="D127" t="str">
        <f>"3481"</f>
        <v>3481</v>
      </c>
      <c r="E127" s="18">
        <v>45747</v>
      </c>
      <c r="F127" t="s">
        <v>456</v>
      </c>
      <c r="G127" t="s">
        <v>247</v>
      </c>
      <c r="H127" t="s">
        <v>457</v>
      </c>
      <c r="L127" s="35">
        <v>573040</v>
      </c>
    </row>
    <row r="128" spans="1:13" hidden="1" x14ac:dyDescent="0.25">
      <c r="A128">
        <v>0</v>
      </c>
      <c r="B128" t="s">
        <v>250</v>
      </c>
      <c r="C128" s="18">
        <v>45777</v>
      </c>
      <c r="D128" t="str">
        <f>"3482"</f>
        <v>3482</v>
      </c>
      <c r="E128" s="18">
        <v>45777</v>
      </c>
      <c r="F128" t="s">
        <v>458</v>
      </c>
      <c r="G128" t="s">
        <v>247</v>
      </c>
      <c r="H128" t="s">
        <v>459</v>
      </c>
      <c r="L128" s="35">
        <v>867680</v>
      </c>
    </row>
    <row r="129" spans="1:13" hidden="1" x14ac:dyDescent="0.25">
      <c r="A129">
        <v>0</v>
      </c>
      <c r="B129" t="s">
        <v>250</v>
      </c>
      <c r="C129" s="18">
        <v>45777</v>
      </c>
      <c r="D129" t="str">
        <f>"3482"</f>
        <v>3482</v>
      </c>
      <c r="E129" s="18">
        <v>45777</v>
      </c>
      <c r="F129" t="s">
        <v>460</v>
      </c>
      <c r="G129" t="s">
        <v>247</v>
      </c>
      <c r="H129" t="s">
        <v>461</v>
      </c>
      <c r="L129" s="35">
        <v>26160</v>
      </c>
    </row>
    <row r="130" spans="1:13" hidden="1" x14ac:dyDescent="0.25">
      <c r="A130">
        <v>0</v>
      </c>
      <c r="B130" t="s">
        <v>250</v>
      </c>
      <c r="C130" s="18">
        <v>45777</v>
      </c>
      <c r="D130" t="str">
        <f>"3482"</f>
        <v>3482</v>
      </c>
      <c r="E130" s="18">
        <v>45777</v>
      </c>
      <c r="F130" t="str">
        <f>"250143"</f>
        <v>250143</v>
      </c>
      <c r="G130" t="s">
        <v>247</v>
      </c>
      <c r="H130" t="s">
        <v>462</v>
      </c>
      <c r="L130" s="35">
        <v>8960</v>
      </c>
    </row>
    <row r="131" spans="1:13" hidden="1" x14ac:dyDescent="0.25">
      <c r="A131">
        <v>0</v>
      </c>
      <c r="B131" t="s">
        <v>248</v>
      </c>
      <c r="C131" s="18">
        <v>45765</v>
      </c>
      <c r="D131" t="str">
        <f>"4078"</f>
        <v>4078</v>
      </c>
      <c r="E131" s="18">
        <v>45765</v>
      </c>
      <c r="F131" t="s">
        <v>463</v>
      </c>
      <c r="G131" t="s">
        <v>247</v>
      </c>
      <c r="H131" t="s">
        <v>464</v>
      </c>
      <c r="M131" s="35">
        <v>0.25</v>
      </c>
    </row>
    <row r="132" spans="1:13" hidden="1" x14ac:dyDescent="0.25">
      <c r="A132">
        <v>0</v>
      </c>
      <c r="B132" t="s">
        <v>250</v>
      </c>
      <c r="C132" s="18">
        <v>45777</v>
      </c>
      <c r="D132" t="str">
        <f>"4088"</f>
        <v>4088</v>
      </c>
      <c r="E132" s="18">
        <v>45777</v>
      </c>
      <c r="F132" t="s">
        <v>465</v>
      </c>
      <c r="G132" t="s">
        <v>247</v>
      </c>
      <c r="H132" t="s">
        <v>466</v>
      </c>
      <c r="L132" s="35">
        <v>22000</v>
      </c>
    </row>
    <row r="133" spans="1:13" hidden="1" x14ac:dyDescent="0.25">
      <c r="A133">
        <v>0</v>
      </c>
      <c r="B133" t="s">
        <v>250</v>
      </c>
      <c r="C133" s="18">
        <v>45777</v>
      </c>
      <c r="D133" t="str">
        <f>"4088"</f>
        <v>4088</v>
      </c>
      <c r="E133" s="18">
        <v>45777</v>
      </c>
      <c r="F133" t="s">
        <v>467</v>
      </c>
      <c r="G133" t="s">
        <v>247</v>
      </c>
      <c r="H133" t="s">
        <v>468</v>
      </c>
      <c r="L133" s="35">
        <v>1259124</v>
      </c>
    </row>
    <row r="134" spans="1:13" hidden="1" x14ac:dyDescent="0.25">
      <c r="A134">
        <v>0</v>
      </c>
      <c r="B134" t="s">
        <v>337</v>
      </c>
      <c r="C134" s="18">
        <v>45772</v>
      </c>
      <c r="D134" t="str">
        <f>"4290"</f>
        <v>4290</v>
      </c>
      <c r="E134" s="18">
        <v>45772</v>
      </c>
      <c r="G134" t="s">
        <v>247</v>
      </c>
      <c r="H134" t="s">
        <v>469</v>
      </c>
      <c r="L134" s="35">
        <v>19608907.52</v>
      </c>
    </row>
    <row r="135" spans="1:13" x14ac:dyDescent="0.25">
      <c r="A135">
        <v>0</v>
      </c>
      <c r="B135" t="s">
        <v>337</v>
      </c>
      <c r="C135" s="18">
        <v>45777</v>
      </c>
      <c r="D135" t="str">
        <f>"4810"</f>
        <v>4810</v>
      </c>
      <c r="E135" s="18">
        <v>45777</v>
      </c>
      <c r="G135" t="s">
        <v>247</v>
      </c>
      <c r="H135" t="s">
        <v>470</v>
      </c>
      <c r="L135" s="35">
        <v>11394.32</v>
      </c>
    </row>
    <row r="136" spans="1:13" x14ac:dyDescent="0.25">
      <c r="A136">
        <v>0</v>
      </c>
      <c r="B136" t="s">
        <v>337</v>
      </c>
      <c r="C136" s="18">
        <v>45777</v>
      </c>
      <c r="D136" t="str">
        <f>"4811"</f>
        <v>4811</v>
      </c>
      <c r="E136" s="18">
        <v>45777</v>
      </c>
      <c r="G136" t="s">
        <v>247</v>
      </c>
      <c r="H136" t="s">
        <v>471</v>
      </c>
      <c r="L136" s="35">
        <v>10800</v>
      </c>
    </row>
    <row r="137" spans="1:13" x14ac:dyDescent="0.25">
      <c r="A137">
        <v>0</v>
      </c>
      <c r="B137" t="s">
        <v>337</v>
      </c>
      <c r="C137" s="18">
        <v>45771</v>
      </c>
      <c r="D137" t="str">
        <f>"4812"</f>
        <v>4812</v>
      </c>
      <c r="E137" s="18">
        <v>45771</v>
      </c>
      <c r="G137" t="s">
        <v>247</v>
      </c>
      <c r="H137" t="s">
        <v>472</v>
      </c>
      <c r="L137" s="35">
        <v>3000</v>
      </c>
    </row>
    <row r="138" spans="1:13" hidden="1" x14ac:dyDescent="0.25">
      <c r="A138">
        <v>0</v>
      </c>
      <c r="B138" t="s">
        <v>250</v>
      </c>
      <c r="C138" s="18">
        <v>45779</v>
      </c>
      <c r="D138" t="str">
        <f>"4848"</f>
        <v>4848</v>
      </c>
      <c r="E138" s="18">
        <v>45779</v>
      </c>
      <c r="F138" t="str">
        <f>"23381"</f>
        <v>23381</v>
      </c>
      <c r="G138" t="s">
        <v>247</v>
      </c>
      <c r="H138" t="s">
        <v>473</v>
      </c>
      <c r="L138" s="35">
        <v>288000</v>
      </c>
    </row>
    <row r="139" spans="1:13" hidden="1" x14ac:dyDescent="0.25">
      <c r="A139">
        <v>0</v>
      </c>
      <c r="B139" t="s">
        <v>250</v>
      </c>
      <c r="C139" s="18">
        <v>45779</v>
      </c>
      <c r="D139" t="str">
        <f>"4848"</f>
        <v>4848</v>
      </c>
      <c r="E139" s="18">
        <v>45779</v>
      </c>
      <c r="F139" t="str">
        <f>"23382"</f>
        <v>23382</v>
      </c>
      <c r="G139" t="s">
        <v>247</v>
      </c>
      <c r="H139" t="s">
        <v>474</v>
      </c>
      <c r="L139" s="35">
        <v>68000</v>
      </c>
    </row>
    <row r="140" spans="1:13" hidden="1" x14ac:dyDescent="0.25">
      <c r="A140">
        <v>0</v>
      </c>
      <c r="B140" t="s">
        <v>250</v>
      </c>
      <c r="C140" s="18">
        <v>45777</v>
      </c>
      <c r="D140" t="str">
        <f t="shared" ref="D140:D152" si="4">"4858"</f>
        <v>4858</v>
      </c>
      <c r="E140" s="18">
        <v>45777</v>
      </c>
      <c r="F140" t="s">
        <v>475</v>
      </c>
      <c r="G140" t="s">
        <v>247</v>
      </c>
      <c r="H140" t="s">
        <v>476</v>
      </c>
      <c r="L140" s="35">
        <v>89280</v>
      </c>
    </row>
    <row r="141" spans="1:13" hidden="1" x14ac:dyDescent="0.25">
      <c r="A141">
        <v>0</v>
      </c>
      <c r="B141" t="s">
        <v>250</v>
      </c>
      <c r="C141" s="18">
        <v>45777</v>
      </c>
      <c r="D141" t="str">
        <f t="shared" si="4"/>
        <v>4858</v>
      </c>
      <c r="E141" s="18">
        <v>45777</v>
      </c>
      <c r="F141" t="s">
        <v>477</v>
      </c>
      <c r="G141" t="s">
        <v>247</v>
      </c>
      <c r="H141" t="s">
        <v>478</v>
      </c>
      <c r="L141" s="35">
        <v>25920</v>
      </c>
    </row>
    <row r="142" spans="1:13" hidden="1" x14ac:dyDescent="0.25">
      <c r="A142">
        <v>0</v>
      </c>
      <c r="B142" t="s">
        <v>250</v>
      </c>
      <c r="C142" s="18">
        <v>45777</v>
      </c>
      <c r="D142" t="str">
        <f t="shared" si="4"/>
        <v>4858</v>
      </c>
      <c r="E142" s="18">
        <v>45777</v>
      </c>
      <c r="F142" t="str">
        <f>"56079"</f>
        <v>56079</v>
      </c>
      <c r="G142" t="s">
        <v>247</v>
      </c>
      <c r="H142" t="s">
        <v>479</v>
      </c>
      <c r="L142" s="35">
        <v>40000</v>
      </c>
    </row>
    <row r="143" spans="1:13" hidden="1" x14ac:dyDescent="0.25">
      <c r="A143">
        <v>0</v>
      </c>
      <c r="B143" t="s">
        <v>250</v>
      </c>
      <c r="C143" s="18">
        <v>45777</v>
      </c>
      <c r="D143" t="str">
        <f t="shared" si="4"/>
        <v>4858</v>
      </c>
      <c r="E143" s="18">
        <v>45777</v>
      </c>
      <c r="F143" t="str">
        <f>"000554"</f>
        <v>000554</v>
      </c>
      <c r="G143" t="s">
        <v>247</v>
      </c>
      <c r="H143" t="s">
        <v>480</v>
      </c>
      <c r="L143" s="35">
        <v>220000</v>
      </c>
    </row>
    <row r="144" spans="1:13" hidden="1" x14ac:dyDescent="0.25">
      <c r="A144">
        <v>0</v>
      </c>
      <c r="B144" t="s">
        <v>250</v>
      </c>
      <c r="C144" s="18">
        <v>45777</v>
      </c>
      <c r="D144" t="str">
        <f t="shared" si="4"/>
        <v>4858</v>
      </c>
      <c r="E144" s="18">
        <v>45777</v>
      </c>
      <c r="F144" t="s">
        <v>481</v>
      </c>
      <c r="G144" t="s">
        <v>247</v>
      </c>
      <c r="H144" t="s">
        <v>482</v>
      </c>
      <c r="L144" s="35">
        <v>73920</v>
      </c>
    </row>
    <row r="145" spans="1:13" hidden="1" x14ac:dyDescent="0.25">
      <c r="A145">
        <v>0</v>
      </c>
      <c r="B145" t="s">
        <v>250</v>
      </c>
      <c r="C145" s="18">
        <v>45777</v>
      </c>
      <c r="D145" t="str">
        <f t="shared" si="4"/>
        <v>4858</v>
      </c>
      <c r="E145" s="18">
        <v>45777</v>
      </c>
      <c r="F145" t="s">
        <v>483</v>
      </c>
      <c r="G145" t="s">
        <v>247</v>
      </c>
      <c r="H145" t="s">
        <v>484</v>
      </c>
      <c r="L145" s="35">
        <v>209520</v>
      </c>
    </row>
    <row r="146" spans="1:13" hidden="1" x14ac:dyDescent="0.25">
      <c r="A146">
        <v>0</v>
      </c>
      <c r="B146" t="s">
        <v>250</v>
      </c>
      <c r="C146" s="18">
        <v>45777</v>
      </c>
      <c r="D146" t="str">
        <f t="shared" si="4"/>
        <v>4858</v>
      </c>
      <c r="E146" s="18">
        <v>45777</v>
      </c>
      <c r="F146" t="s">
        <v>485</v>
      </c>
      <c r="G146" t="s">
        <v>247</v>
      </c>
      <c r="H146" t="s">
        <v>486</v>
      </c>
      <c r="L146" s="35">
        <v>69440</v>
      </c>
    </row>
    <row r="147" spans="1:13" hidden="1" x14ac:dyDescent="0.25">
      <c r="A147">
        <v>0</v>
      </c>
      <c r="B147" t="s">
        <v>250</v>
      </c>
      <c r="C147" s="18">
        <v>45777</v>
      </c>
      <c r="D147" t="str">
        <f t="shared" si="4"/>
        <v>4858</v>
      </c>
      <c r="E147" s="18">
        <v>45777</v>
      </c>
      <c r="F147" t="s">
        <v>487</v>
      </c>
      <c r="G147" t="s">
        <v>247</v>
      </c>
      <c r="H147" t="s">
        <v>488</v>
      </c>
      <c r="L147" s="35">
        <v>296000</v>
      </c>
    </row>
    <row r="148" spans="1:13" hidden="1" x14ac:dyDescent="0.25">
      <c r="A148">
        <v>0</v>
      </c>
      <c r="B148" t="s">
        <v>250</v>
      </c>
      <c r="C148" s="18">
        <v>45777</v>
      </c>
      <c r="D148" t="str">
        <f t="shared" si="4"/>
        <v>4858</v>
      </c>
      <c r="E148" s="18">
        <v>45777</v>
      </c>
      <c r="F148" t="str">
        <f>"423"</f>
        <v>423</v>
      </c>
      <c r="G148" t="s">
        <v>247</v>
      </c>
      <c r="H148" t="s">
        <v>489</v>
      </c>
      <c r="L148" s="35">
        <v>50000</v>
      </c>
    </row>
    <row r="149" spans="1:13" hidden="1" x14ac:dyDescent="0.25">
      <c r="A149">
        <v>0</v>
      </c>
      <c r="B149" t="s">
        <v>250</v>
      </c>
      <c r="C149" s="18">
        <v>45777</v>
      </c>
      <c r="D149" t="str">
        <f t="shared" si="4"/>
        <v>4858</v>
      </c>
      <c r="E149" s="18">
        <v>45777</v>
      </c>
      <c r="F149" t="str">
        <f>"250295"</f>
        <v>250295</v>
      </c>
      <c r="G149" t="s">
        <v>247</v>
      </c>
      <c r="H149" t="s">
        <v>490</v>
      </c>
      <c r="L149" s="35">
        <v>82960</v>
      </c>
    </row>
    <row r="150" spans="1:13" hidden="1" x14ac:dyDescent="0.25">
      <c r="A150">
        <v>0</v>
      </c>
      <c r="B150" t="s">
        <v>250</v>
      </c>
      <c r="C150" s="18">
        <v>45777</v>
      </c>
      <c r="D150" t="str">
        <f t="shared" si="4"/>
        <v>4858</v>
      </c>
      <c r="E150" s="18">
        <v>45777</v>
      </c>
      <c r="F150" t="s">
        <v>368</v>
      </c>
      <c r="G150" t="s">
        <v>247</v>
      </c>
      <c r="H150" t="s">
        <v>491</v>
      </c>
      <c r="L150" s="35">
        <v>96000</v>
      </c>
    </row>
    <row r="151" spans="1:13" hidden="1" x14ac:dyDescent="0.25">
      <c r="A151">
        <v>0</v>
      </c>
      <c r="B151" t="s">
        <v>250</v>
      </c>
      <c r="C151" s="18">
        <v>45777</v>
      </c>
      <c r="D151" t="str">
        <f t="shared" si="4"/>
        <v>4858</v>
      </c>
      <c r="E151" s="18">
        <v>45777</v>
      </c>
      <c r="F151" t="s">
        <v>492</v>
      </c>
      <c r="G151" t="s">
        <v>247</v>
      </c>
      <c r="H151" t="s">
        <v>493</v>
      </c>
      <c r="L151" s="35">
        <v>12000</v>
      </c>
    </row>
    <row r="152" spans="1:13" hidden="1" x14ac:dyDescent="0.25">
      <c r="A152">
        <v>0</v>
      </c>
      <c r="B152" t="s">
        <v>250</v>
      </c>
      <c r="C152" s="18">
        <v>45777</v>
      </c>
      <c r="D152" t="str">
        <f t="shared" si="4"/>
        <v>4858</v>
      </c>
      <c r="E152" s="18">
        <v>45777</v>
      </c>
      <c r="F152" t="s">
        <v>494</v>
      </c>
      <c r="G152" t="s">
        <v>247</v>
      </c>
      <c r="H152" t="s">
        <v>495</v>
      </c>
      <c r="L152" s="35">
        <v>64000</v>
      </c>
    </row>
    <row r="153" spans="1:13" x14ac:dyDescent="0.25">
      <c r="A153">
        <v>0</v>
      </c>
      <c r="B153" t="s">
        <v>407</v>
      </c>
      <c r="C153" s="18">
        <v>45783</v>
      </c>
      <c r="D153" t="str">
        <f>"5153"</f>
        <v>5153</v>
      </c>
      <c r="E153" s="18">
        <v>45783</v>
      </c>
      <c r="F153" t="str">
        <f>"23382"</f>
        <v>23382</v>
      </c>
      <c r="G153" t="s">
        <v>247</v>
      </c>
      <c r="H153" t="s">
        <v>496</v>
      </c>
      <c r="L153" s="35">
        <v>800</v>
      </c>
    </row>
    <row r="154" spans="1:13" hidden="1" x14ac:dyDescent="0.25">
      <c r="A154">
        <v>0</v>
      </c>
      <c r="B154" t="s">
        <v>250</v>
      </c>
      <c r="C154" s="18">
        <v>45747</v>
      </c>
      <c r="D154" t="str">
        <f>"5179"</f>
        <v>5179</v>
      </c>
      <c r="E154" s="18">
        <v>45747</v>
      </c>
      <c r="F154" t="s">
        <v>456</v>
      </c>
      <c r="G154" t="s">
        <v>247</v>
      </c>
      <c r="H154" t="s">
        <v>497</v>
      </c>
      <c r="M154" s="35">
        <v>573040</v>
      </c>
    </row>
    <row r="155" spans="1:13" hidden="1" x14ac:dyDescent="0.25">
      <c r="A155">
        <v>0</v>
      </c>
      <c r="B155" t="s">
        <v>250</v>
      </c>
      <c r="C155" s="18">
        <v>45777</v>
      </c>
      <c r="D155" t="str">
        <f>"5180"</f>
        <v>5180</v>
      </c>
      <c r="E155" s="18">
        <v>45777</v>
      </c>
      <c r="F155" t="s">
        <v>456</v>
      </c>
      <c r="G155" t="s">
        <v>247</v>
      </c>
      <c r="H155" t="s">
        <v>498</v>
      </c>
      <c r="L155" s="35">
        <v>573040</v>
      </c>
    </row>
    <row r="156" spans="1:13" hidden="1" x14ac:dyDescent="0.25">
      <c r="A156">
        <v>0</v>
      </c>
      <c r="B156" t="s">
        <v>250</v>
      </c>
      <c r="C156" s="18">
        <v>45777</v>
      </c>
      <c r="D156" t="str">
        <f t="shared" ref="D156:D171" si="5">"5225"</f>
        <v>5225</v>
      </c>
      <c r="E156" s="18">
        <v>45777</v>
      </c>
      <c r="F156" t="s">
        <v>499</v>
      </c>
      <c r="G156" t="s">
        <v>247</v>
      </c>
      <c r="H156" t="s">
        <v>500</v>
      </c>
      <c r="L156" s="35">
        <v>301960</v>
      </c>
    </row>
    <row r="157" spans="1:13" hidden="1" x14ac:dyDescent="0.25">
      <c r="A157">
        <v>0</v>
      </c>
      <c r="B157" t="s">
        <v>250</v>
      </c>
      <c r="C157" s="18">
        <v>45777</v>
      </c>
      <c r="D157" t="str">
        <f t="shared" si="5"/>
        <v>5225</v>
      </c>
      <c r="E157" s="18">
        <v>45777</v>
      </c>
      <c r="F157" t="s">
        <v>501</v>
      </c>
      <c r="G157" t="s">
        <v>247</v>
      </c>
      <c r="H157" t="s">
        <v>502</v>
      </c>
      <c r="L157" s="35">
        <v>32000</v>
      </c>
    </row>
    <row r="158" spans="1:13" hidden="1" x14ac:dyDescent="0.25">
      <c r="A158">
        <v>0</v>
      </c>
      <c r="B158" t="s">
        <v>250</v>
      </c>
      <c r="C158" s="18">
        <v>45777</v>
      </c>
      <c r="D158" t="str">
        <f t="shared" si="5"/>
        <v>5225</v>
      </c>
      <c r="E158" s="18">
        <v>45777</v>
      </c>
      <c r="F158" t="s">
        <v>503</v>
      </c>
      <c r="G158" t="s">
        <v>247</v>
      </c>
      <c r="H158" t="s">
        <v>504</v>
      </c>
      <c r="L158" s="35">
        <v>368600</v>
      </c>
    </row>
    <row r="159" spans="1:13" hidden="1" x14ac:dyDescent="0.25">
      <c r="A159">
        <v>0</v>
      </c>
      <c r="B159" t="s">
        <v>250</v>
      </c>
      <c r="C159" s="18">
        <v>45777</v>
      </c>
      <c r="D159" t="str">
        <f t="shared" si="5"/>
        <v>5225</v>
      </c>
      <c r="E159" s="18">
        <v>45777</v>
      </c>
      <c r="F159" t="s">
        <v>505</v>
      </c>
      <c r="G159" t="s">
        <v>247</v>
      </c>
      <c r="H159" t="s">
        <v>506</v>
      </c>
      <c r="L159" s="35">
        <v>686400</v>
      </c>
    </row>
    <row r="160" spans="1:13" hidden="1" x14ac:dyDescent="0.25">
      <c r="A160">
        <v>0</v>
      </c>
      <c r="B160" t="s">
        <v>250</v>
      </c>
      <c r="C160" s="18">
        <v>45777</v>
      </c>
      <c r="D160" t="str">
        <f t="shared" si="5"/>
        <v>5225</v>
      </c>
      <c r="E160" s="18">
        <v>45777</v>
      </c>
      <c r="F160" t="s">
        <v>507</v>
      </c>
      <c r="G160" t="s">
        <v>247</v>
      </c>
      <c r="H160" t="s">
        <v>508</v>
      </c>
      <c r="L160" s="35">
        <v>1315600</v>
      </c>
    </row>
    <row r="161" spans="1:12" hidden="1" x14ac:dyDescent="0.25">
      <c r="A161">
        <v>0</v>
      </c>
      <c r="B161" t="s">
        <v>250</v>
      </c>
      <c r="C161" s="18">
        <v>45777</v>
      </c>
      <c r="D161" t="str">
        <f t="shared" si="5"/>
        <v>5225</v>
      </c>
      <c r="E161" s="18">
        <v>45777</v>
      </c>
      <c r="F161" t="s">
        <v>509</v>
      </c>
      <c r="G161" t="s">
        <v>247</v>
      </c>
      <c r="H161" t="s">
        <v>510</v>
      </c>
      <c r="L161" s="35">
        <v>296000</v>
      </c>
    </row>
    <row r="162" spans="1:12" hidden="1" x14ac:dyDescent="0.25">
      <c r="A162">
        <v>0</v>
      </c>
      <c r="B162" t="s">
        <v>250</v>
      </c>
      <c r="C162" s="18">
        <v>45777</v>
      </c>
      <c r="D162" t="str">
        <f t="shared" si="5"/>
        <v>5225</v>
      </c>
      <c r="E162" s="18">
        <v>45777</v>
      </c>
      <c r="F162" t="s">
        <v>511</v>
      </c>
      <c r="G162" t="s">
        <v>247</v>
      </c>
      <c r="H162" t="s">
        <v>512</v>
      </c>
      <c r="L162" s="35">
        <v>16000</v>
      </c>
    </row>
    <row r="163" spans="1:12" hidden="1" x14ac:dyDescent="0.25">
      <c r="A163">
        <v>0</v>
      </c>
      <c r="B163" t="s">
        <v>250</v>
      </c>
      <c r="C163" s="18">
        <v>45777</v>
      </c>
      <c r="D163" t="str">
        <f t="shared" si="5"/>
        <v>5225</v>
      </c>
      <c r="E163" s="18">
        <v>45777</v>
      </c>
      <c r="F163" t="s">
        <v>513</v>
      </c>
      <c r="G163" t="s">
        <v>247</v>
      </c>
      <c r="H163" t="s">
        <v>514</v>
      </c>
      <c r="L163" s="35">
        <v>1238400</v>
      </c>
    </row>
    <row r="164" spans="1:12" hidden="1" x14ac:dyDescent="0.25">
      <c r="A164">
        <v>0</v>
      </c>
      <c r="B164" t="s">
        <v>250</v>
      </c>
      <c r="C164" s="18">
        <v>45777</v>
      </c>
      <c r="D164" t="str">
        <f t="shared" si="5"/>
        <v>5225</v>
      </c>
      <c r="E164" s="18">
        <v>45777</v>
      </c>
      <c r="F164" t="s">
        <v>515</v>
      </c>
      <c r="G164" t="s">
        <v>247</v>
      </c>
      <c r="H164" t="s">
        <v>516</v>
      </c>
      <c r="L164" s="35">
        <v>40240</v>
      </c>
    </row>
    <row r="165" spans="1:12" hidden="1" x14ac:dyDescent="0.25">
      <c r="A165">
        <v>0</v>
      </c>
      <c r="B165" t="s">
        <v>250</v>
      </c>
      <c r="C165" s="18">
        <v>45777</v>
      </c>
      <c r="D165" t="str">
        <f t="shared" si="5"/>
        <v>5225</v>
      </c>
      <c r="E165" s="18">
        <v>45777</v>
      </c>
      <c r="F165" t="s">
        <v>517</v>
      </c>
      <c r="G165" t="s">
        <v>247</v>
      </c>
      <c r="H165" t="s">
        <v>518</v>
      </c>
      <c r="L165" s="35">
        <v>35840</v>
      </c>
    </row>
    <row r="166" spans="1:12" hidden="1" x14ac:dyDescent="0.25">
      <c r="A166">
        <v>0</v>
      </c>
      <c r="B166" t="s">
        <v>250</v>
      </c>
      <c r="C166" s="18">
        <v>45777</v>
      </c>
      <c r="D166" t="str">
        <f t="shared" si="5"/>
        <v>5225</v>
      </c>
      <c r="E166" s="18">
        <v>45777</v>
      </c>
      <c r="F166" t="s">
        <v>519</v>
      </c>
      <c r="G166" t="s">
        <v>247</v>
      </c>
      <c r="H166" t="s">
        <v>520</v>
      </c>
      <c r="L166" s="35">
        <v>899600</v>
      </c>
    </row>
    <row r="167" spans="1:12" hidden="1" x14ac:dyDescent="0.25">
      <c r="A167">
        <v>0</v>
      </c>
      <c r="B167" t="s">
        <v>250</v>
      </c>
      <c r="C167" s="18">
        <v>45777</v>
      </c>
      <c r="D167" t="str">
        <f t="shared" si="5"/>
        <v>5225</v>
      </c>
      <c r="E167" s="18">
        <v>45777</v>
      </c>
      <c r="F167" t="s">
        <v>521</v>
      </c>
      <c r="G167" t="s">
        <v>247</v>
      </c>
      <c r="H167" t="s">
        <v>522</v>
      </c>
      <c r="L167" s="35">
        <v>279840</v>
      </c>
    </row>
    <row r="168" spans="1:12" hidden="1" x14ac:dyDescent="0.25">
      <c r="A168">
        <v>0</v>
      </c>
      <c r="B168" t="s">
        <v>250</v>
      </c>
      <c r="C168" s="18">
        <v>45777</v>
      </c>
      <c r="D168" t="str">
        <f t="shared" si="5"/>
        <v>5225</v>
      </c>
      <c r="E168" s="18">
        <v>45777</v>
      </c>
      <c r="F168" t="s">
        <v>523</v>
      </c>
      <c r="G168" t="s">
        <v>247</v>
      </c>
      <c r="H168" t="s">
        <v>524</v>
      </c>
      <c r="L168" s="35">
        <v>30800</v>
      </c>
    </row>
    <row r="169" spans="1:12" hidden="1" x14ac:dyDescent="0.25">
      <c r="A169">
        <v>0</v>
      </c>
      <c r="B169" t="s">
        <v>250</v>
      </c>
      <c r="C169" s="18">
        <v>45777</v>
      </c>
      <c r="D169" t="str">
        <f t="shared" si="5"/>
        <v>5225</v>
      </c>
      <c r="E169" s="18">
        <v>45777</v>
      </c>
      <c r="F169" t="s">
        <v>525</v>
      </c>
      <c r="G169" t="s">
        <v>247</v>
      </c>
      <c r="H169" t="s">
        <v>526</v>
      </c>
      <c r="L169" s="35">
        <v>30240</v>
      </c>
    </row>
    <row r="170" spans="1:12" hidden="1" x14ac:dyDescent="0.25">
      <c r="A170">
        <v>0</v>
      </c>
      <c r="B170" t="s">
        <v>250</v>
      </c>
      <c r="C170" s="18">
        <v>45777</v>
      </c>
      <c r="D170" t="str">
        <f t="shared" si="5"/>
        <v>5225</v>
      </c>
      <c r="E170" s="18">
        <v>45777</v>
      </c>
      <c r="F170" t="s">
        <v>527</v>
      </c>
      <c r="G170" t="s">
        <v>247</v>
      </c>
      <c r="H170" t="s">
        <v>528</v>
      </c>
      <c r="L170" s="35">
        <v>395680</v>
      </c>
    </row>
    <row r="171" spans="1:12" hidden="1" x14ac:dyDescent="0.25">
      <c r="A171">
        <v>0</v>
      </c>
      <c r="B171" t="s">
        <v>250</v>
      </c>
      <c r="C171" s="18">
        <v>45777</v>
      </c>
      <c r="D171" t="str">
        <f t="shared" si="5"/>
        <v>5225</v>
      </c>
      <c r="E171" s="18">
        <v>45777</v>
      </c>
      <c r="F171" t="s">
        <v>529</v>
      </c>
      <c r="G171" t="s">
        <v>247</v>
      </c>
      <c r="H171" t="s">
        <v>530</v>
      </c>
      <c r="L171" s="35">
        <v>32000</v>
      </c>
    </row>
    <row r="172" spans="1:12" hidden="1" x14ac:dyDescent="0.25">
      <c r="A172">
        <v>0</v>
      </c>
      <c r="B172" t="s">
        <v>250</v>
      </c>
      <c r="C172" s="18">
        <v>45808</v>
      </c>
      <c r="D172" t="str">
        <f>"5226"</f>
        <v>5226</v>
      </c>
      <c r="E172" s="18">
        <v>45808</v>
      </c>
      <c r="F172" t="str">
        <f>"002055"</f>
        <v>002055</v>
      </c>
      <c r="G172" t="s">
        <v>247</v>
      </c>
      <c r="H172" t="s">
        <v>531</v>
      </c>
      <c r="L172" s="35">
        <v>93200</v>
      </c>
    </row>
    <row r="173" spans="1:12" hidden="1" x14ac:dyDescent="0.25">
      <c r="A173">
        <v>0</v>
      </c>
      <c r="B173" t="s">
        <v>250</v>
      </c>
      <c r="C173" s="18">
        <v>45777</v>
      </c>
      <c r="D173" t="str">
        <f>"5227"</f>
        <v>5227</v>
      </c>
      <c r="E173" s="18">
        <v>45777</v>
      </c>
      <c r="F173" t="s">
        <v>532</v>
      </c>
      <c r="G173" t="s">
        <v>247</v>
      </c>
      <c r="H173" t="s">
        <v>533</v>
      </c>
      <c r="L173" s="35">
        <v>737640</v>
      </c>
    </row>
    <row r="174" spans="1:12" hidden="1" x14ac:dyDescent="0.25">
      <c r="A174">
        <v>0</v>
      </c>
      <c r="B174" t="s">
        <v>250</v>
      </c>
      <c r="C174" s="18">
        <v>45779</v>
      </c>
      <c r="D174" t="str">
        <f>"5546"</f>
        <v>5546</v>
      </c>
      <c r="E174" s="18">
        <v>45779</v>
      </c>
      <c r="F174" t="str">
        <f>"23526"</f>
        <v>23526</v>
      </c>
      <c r="G174" t="s">
        <v>247</v>
      </c>
      <c r="H174" t="s">
        <v>534</v>
      </c>
      <c r="L174" s="35">
        <v>292800</v>
      </c>
    </row>
    <row r="175" spans="1:12" hidden="1" x14ac:dyDescent="0.25">
      <c r="A175">
        <v>0</v>
      </c>
      <c r="B175" t="s">
        <v>250</v>
      </c>
      <c r="C175" s="18">
        <v>45779</v>
      </c>
      <c r="D175" t="str">
        <f>"5546"</f>
        <v>5546</v>
      </c>
      <c r="E175" s="18">
        <v>45779</v>
      </c>
      <c r="F175" t="str">
        <f>"23527"</f>
        <v>23527</v>
      </c>
      <c r="G175" t="s">
        <v>247</v>
      </c>
      <c r="H175" t="s">
        <v>535</v>
      </c>
      <c r="L175" s="35">
        <v>370000</v>
      </c>
    </row>
    <row r="176" spans="1:12" hidden="1" x14ac:dyDescent="0.25">
      <c r="A176">
        <v>0</v>
      </c>
      <c r="B176" t="s">
        <v>250</v>
      </c>
      <c r="C176" s="18">
        <v>45779</v>
      </c>
      <c r="D176" t="str">
        <f>"5546"</f>
        <v>5546</v>
      </c>
      <c r="E176" s="18">
        <v>45779</v>
      </c>
      <c r="F176" t="str">
        <f>"23528"</f>
        <v>23528</v>
      </c>
      <c r="G176" t="s">
        <v>247</v>
      </c>
      <c r="H176" t="s">
        <v>536</v>
      </c>
      <c r="L176" s="35">
        <v>125920</v>
      </c>
    </row>
    <row r="177" spans="1:12" hidden="1" x14ac:dyDescent="0.25">
      <c r="A177">
        <v>0</v>
      </c>
      <c r="B177" t="s">
        <v>250</v>
      </c>
      <c r="C177" s="18">
        <v>45779</v>
      </c>
      <c r="D177" t="str">
        <f>"5649"</f>
        <v>5649</v>
      </c>
      <c r="E177" s="18">
        <v>45779</v>
      </c>
      <c r="F177" t="str">
        <f>"23441"</f>
        <v>23441</v>
      </c>
      <c r="G177" t="s">
        <v>247</v>
      </c>
      <c r="H177" t="s">
        <v>537</v>
      </c>
      <c r="L177" s="35">
        <v>539920</v>
      </c>
    </row>
    <row r="178" spans="1:12" x14ac:dyDescent="0.25">
      <c r="A178">
        <v>0</v>
      </c>
      <c r="B178" t="s">
        <v>407</v>
      </c>
      <c r="C178" s="18">
        <v>45793</v>
      </c>
      <c r="D178" t="str">
        <f>"5739"</f>
        <v>5739</v>
      </c>
      <c r="E178" s="18">
        <v>45793</v>
      </c>
      <c r="F178" t="str">
        <f>"23527"</f>
        <v>23527</v>
      </c>
      <c r="G178" t="s">
        <v>247</v>
      </c>
      <c r="H178" t="s">
        <v>538</v>
      </c>
      <c r="L178" s="35">
        <v>1500</v>
      </c>
    </row>
    <row r="179" spans="1:12" hidden="1" x14ac:dyDescent="0.25">
      <c r="A179">
        <v>0</v>
      </c>
      <c r="B179" t="s">
        <v>250</v>
      </c>
      <c r="C179" s="18">
        <v>45786</v>
      </c>
      <c r="D179" t="str">
        <f>"5811"</f>
        <v>5811</v>
      </c>
      <c r="E179" s="18">
        <v>45786</v>
      </c>
      <c r="F179" t="str">
        <f>"23675"</f>
        <v>23675</v>
      </c>
      <c r="G179" t="s">
        <v>247</v>
      </c>
      <c r="H179" t="s">
        <v>539</v>
      </c>
      <c r="L179" s="35">
        <v>89920</v>
      </c>
    </row>
    <row r="180" spans="1:12" hidden="1" x14ac:dyDescent="0.25">
      <c r="A180">
        <v>0</v>
      </c>
      <c r="B180" t="s">
        <v>250</v>
      </c>
      <c r="C180" s="18">
        <v>45808</v>
      </c>
      <c r="D180" t="str">
        <f>"5818"</f>
        <v>5818</v>
      </c>
      <c r="E180" s="18">
        <v>45808</v>
      </c>
      <c r="F180" t="str">
        <f>"348664"</f>
        <v>348664</v>
      </c>
      <c r="G180" t="s">
        <v>247</v>
      </c>
      <c r="H180" t="s">
        <v>540</v>
      </c>
      <c r="L180" s="35">
        <v>162816</v>
      </c>
    </row>
    <row r="181" spans="1:12" x14ac:dyDescent="0.25">
      <c r="A181">
        <v>0</v>
      </c>
      <c r="B181" t="s">
        <v>407</v>
      </c>
      <c r="C181" s="18">
        <v>45799</v>
      </c>
      <c r="D181" t="str">
        <f>"5884"</f>
        <v>5884</v>
      </c>
      <c r="E181" s="18">
        <v>45799</v>
      </c>
      <c r="F181" t="str">
        <f>"23675"</f>
        <v>23675</v>
      </c>
      <c r="G181" t="s">
        <v>247</v>
      </c>
      <c r="H181" t="s">
        <v>541</v>
      </c>
      <c r="L181" s="35">
        <v>800</v>
      </c>
    </row>
    <row r="182" spans="1:12" hidden="1" x14ac:dyDescent="0.25">
      <c r="A182">
        <v>0</v>
      </c>
      <c r="B182" t="s">
        <v>250</v>
      </c>
      <c r="C182" s="18">
        <v>45808</v>
      </c>
      <c r="D182" t="str">
        <f>"5895"</f>
        <v>5895</v>
      </c>
      <c r="E182" s="18">
        <v>45808</v>
      </c>
      <c r="F182" t="str">
        <f>"56092"</f>
        <v>56092</v>
      </c>
      <c r="G182" t="s">
        <v>247</v>
      </c>
      <c r="H182" t="s">
        <v>542</v>
      </c>
      <c r="L182" s="35">
        <v>40000</v>
      </c>
    </row>
    <row r="183" spans="1:12" hidden="1" x14ac:dyDescent="0.25">
      <c r="A183">
        <v>0</v>
      </c>
      <c r="B183" t="s">
        <v>250</v>
      </c>
      <c r="C183" s="18">
        <v>45779</v>
      </c>
      <c r="D183" t="str">
        <f>"5920"</f>
        <v>5920</v>
      </c>
      <c r="E183" s="18">
        <v>45779</v>
      </c>
      <c r="F183" t="str">
        <f>"23729"</f>
        <v>23729</v>
      </c>
      <c r="G183" t="s">
        <v>247</v>
      </c>
      <c r="H183" t="s">
        <v>543</v>
      </c>
      <c r="L183" s="35">
        <v>236000</v>
      </c>
    </row>
    <row r="184" spans="1:12" x14ac:dyDescent="0.25">
      <c r="A184">
        <v>0</v>
      </c>
      <c r="B184" t="s">
        <v>407</v>
      </c>
      <c r="C184" s="18">
        <v>45803</v>
      </c>
      <c r="D184" t="str">
        <f>"5987"</f>
        <v>5987</v>
      </c>
      <c r="E184" s="18">
        <v>45803</v>
      </c>
      <c r="F184" t="str">
        <f>"23729"</f>
        <v>23729</v>
      </c>
      <c r="G184" t="s">
        <v>247</v>
      </c>
      <c r="H184" t="s">
        <v>544</v>
      </c>
      <c r="L184" s="35">
        <v>1500</v>
      </c>
    </row>
    <row r="185" spans="1:12" hidden="1" x14ac:dyDescent="0.25">
      <c r="A185">
        <v>0</v>
      </c>
      <c r="B185" t="s">
        <v>250</v>
      </c>
      <c r="C185" s="18">
        <v>45808</v>
      </c>
      <c r="D185" t="str">
        <f>"6066"</f>
        <v>6066</v>
      </c>
      <c r="E185" s="18">
        <v>45808</v>
      </c>
      <c r="F185" t="s">
        <v>545</v>
      </c>
      <c r="G185" t="s">
        <v>247</v>
      </c>
      <c r="H185" t="s">
        <v>546</v>
      </c>
      <c r="L185" s="35">
        <v>749600</v>
      </c>
    </row>
    <row r="186" spans="1:12" x14ac:dyDescent="0.25">
      <c r="A186">
        <v>0</v>
      </c>
      <c r="B186" t="s">
        <v>337</v>
      </c>
      <c r="C186" s="18">
        <v>45807</v>
      </c>
      <c r="D186" t="str">
        <f>"6118"</f>
        <v>6118</v>
      </c>
      <c r="E186" s="18">
        <v>45807</v>
      </c>
      <c r="G186" t="s">
        <v>247</v>
      </c>
      <c r="H186" t="s">
        <v>547</v>
      </c>
      <c r="L186" s="35">
        <v>72367.990000000005</v>
      </c>
    </row>
    <row r="187" spans="1:12" x14ac:dyDescent="0.25">
      <c r="A187">
        <v>0</v>
      </c>
      <c r="B187" t="s">
        <v>337</v>
      </c>
      <c r="C187" s="18">
        <v>45807</v>
      </c>
      <c r="D187" t="str">
        <f>"6119"</f>
        <v>6119</v>
      </c>
      <c r="E187" s="18">
        <v>45807</v>
      </c>
      <c r="G187" t="s">
        <v>247</v>
      </c>
      <c r="H187" t="s">
        <v>548</v>
      </c>
      <c r="L187" s="35">
        <v>10800</v>
      </c>
    </row>
    <row r="188" spans="1:12" x14ac:dyDescent="0.25">
      <c r="A188">
        <v>0</v>
      </c>
      <c r="B188" t="s">
        <v>337</v>
      </c>
      <c r="C188" s="18">
        <v>45786</v>
      </c>
      <c r="D188" t="str">
        <f>"6120"</f>
        <v>6120</v>
      </c>
      <c r="E188" s="18">
        <v>45786</v>
      </c>
      <c r="G188" t="s">
        <v>247</v>
      </c>
      <c r="H188" t="s">
        <v>549</v>
      </c>
      <c r="L188" s="35">
        <v>3000</v>
      </c>
    </row>
    <row r="189" spans="1:12" x14ac:dyDescent="0.25">
      <c r="A189">
        <v>0</v>
      </c>
      <c r="B189" t="s">
        <v>337</v>
      </c>
      <c r="C189" s="18">
        <v>45786</v>
      </c>
      <c r="D189" t="str">
        <f>"6121"</f>
        <v>6121</v>
      </c>
      <c r="E189" s="18">
        <v>45786</v>
      </c>
      <c r="G189" t="s">
        <v>247</v>
      </c>
      <c r="H189" t="s">
        <v>550</v>
      </c>
      <c r="L189" s="35">
        <v>3000</v>
      </c>
    </row>
    <row r="190" spans="1:12" x14ac:dyDescent="0.25">
      <c r="A190">
        <v>0</v>
      </c>
      <c r="B190" t="s">
        <v>337</v>
      </c>
      <c r="C190" s="18">
        <v>45786</v>
      </c>
      <c r="D190" t="str">
        <f>"6122"</f>
        <v>6122</v>
      </c>
      <c r="E190" s="18">
        <v>45786</v>
      </c>
      <c r="G190" t="s">
        <v>247</v>
      </c>
      <c r="H190" t="s">
        <v>551</v>
      </c>
      <c r="L190" s="35">
        <v>3000</v>
      </c>
    </row>
    <row r="191" spans="1:12" x14ac:dyDescent="0.25">
      <c r="A191">
        <v>0</v>
      </c>
      <c r="B191" t="s">
        <v>337</v>
      </c>
      <c r="C191" s="18">
        <v>45804</v>
      </c>
      <c r="D191" t="str">
        <f>"6123"</f>
        <v>6123</v>
      </c>
      <c r="E191" s="18">
        <v>45804</v>
      </c>
      <c r="G191" t="s">
        <v>247</v>
      </c>
      <c r="H191" t="s">
        <v>552</v>
      </c>
      <c r="L191" s="35">
        <v>9600</v>
      </c>
    </row>
    <row r="192" spans="1:12" x14ac:dyDescent="0.25">
      <c r="A192">
        <v>0</v>
      </c>
      <c r="B192" t="s">
        <v>337</v>
      </c>
      <c r="C192" s="18">
        <v>45804</v>
      </c>
      <c r="D192" t="str">
        <f>"6165"</f>
        <v>6165</v>
      </c>
      <c r="E192" s="18">
        <v>45804</v>
      </c>
      <c r="G192" t="s">
        <v>247</v>
      </c>
      <c r="H192" t="s">
        <v>553</v>
      </c>
      <c r="L192" s="35">
        <v>9600</v>
      </c>
    </row>
    <row r="193" spans="1:12" x14ac:dyDescent="0.25">
      <c r="A193">
        <v>0</v>
      </c>
      <c r="B193" t="s">
        <v>337</v>
      </c>
      <c r="C193" s="18">
        <v>45804</v>
      </c>
      <c r="D193" t="str">
        <f>"6166"</f>
        <v>6166</v>
      </c>
      <c r="E193" s="18">
        <v>45804</v>
      </c>
      <c r="G193" t="s">
        <v>247</v>
      </c>
      <c r="H193" t="s">
        <v>554</v>
      </c>
      <c r="L193" s="35">
        <v>9600</v>
      </c>
    </row>
    <row r="194" spans="1:12" x14ac:dyDescent="0.25">
      <c r="A194">
        <v>0</v>
      </c>
      <c r="B194" t="s">
        <v>407</v>
      </c>
      <c r="C194" s="18">
        <v>45812</v>
      </c>
      <c r="D194" t="str">
        <f>"6213"</f>
        <v>6213</v>
      </c>
      <c r="E194" s="18">
        <v>45812</v>
      </c>
      <c r="F194" t="str">
        <f>"23526"</f>
        <v>23526</v>
      </c>
      <c r="G194" t="s">
        <v>247</v>
      </c>
      <c r="H194" t="s">
        <v>555</v>
      </c>
      <c r="L194" s="35">
        <v>1500</v>
      </c>
    </row>
    <row r="195" spans="1:12" hidden="1" x14ac:dyDescent="0.25">
      <c r="A195">
        <v>0</v>
      </c>
      <c r="B195" t="s">
        <v>250</v>
      </c>
      <c r="C195" s="18">
        <v>45808</v>
      </c>
      <c r="D195" t="str">
        <f>"6349"</f>
        <v>6349</v>
      </c>
      <c r="E195" s="18">
        <v>45808</v>
      </c>
      <c r="F195" t="s">
        <v>556</v>
      </c>
      <c r="G195" t="s">
        <v>247</v>
      </c>
      <c r="H195" t="s">
        <v>557</v>
      </c>
      <c r="L195" s="35">
        <v>967040</v>
      </c>
    </row>
    <row r="196" spans="1:12" hidden="1" x14ac:dyDescent="0.25">
      <c r="A196">
        <v>0</v>
      </c>
      <c r="B196" t="s">
        <v>248</v>
      </c>
      <c r="C196" s="18">
        <v>45824</v>
      </c>
      <c r="D196" t="str">
        <f>"6527"</f>
        <v>6527</v>
      </c>
      <c r="E196" s="18">
        <v>45824</v>
      </c>
      <c r="G196" t="s">
        <v>247</v>
      </c>
      <c r="H196" t="s">
        <v>558</v>
      </c>
      <c r="L196" s="35">
        <v>6417095.5800000001</v>
      </c>
    </row>
    <row r="197" spans="1:12" hidden="1" x14ac:dyDescent="0.25">
      <c r="A197">
        <v>0</v>
      </c>
      <c r="B197" t="s">
        <v>250</v>
      </c>
      <c r="C197" s="18">
        <v>45808</v>
      </c>
      <c r="D197" t="str">
        <f t="shared" ref="D197:D216" si="6">"6552"</f>
        <v>6552</v>
      </c>
      <c r="E197" s="18">
        <v>45808</v>
      </c>
      <c r="F197" t="s">
        <v>559</v>
      </c>
      <c r="G197" t="s">
        <v>247</v>
      </c>
      <c r="H197" t="s">
        <v>560</v>
      </c>
      <c r="L197" s="35">
        <v>28000</v>
      </c>
    </row>
    <row r="198" spans="1:12" hidden="1" x14ac:dyDescent="0.25">
      <c r="A198">
        <v>0</v>
      </c>
      <c r="B198" t="s">
        <v>250</v>
      </c>
      <c r="C198" s="18">
        <v>45808</v>
      </c>
      <c r="D198" t="str">
        <f t="shared" si="6"/>
        <v>6552</v>
      </c>
      <c r="E198" s="18">
        <v>45808</v>
      </c>
      <c r="F198" t="str">
        <f>"202503087"</f>
        <v>202503087</v>
      </c>
      <c r="G198" t="s">
        <v>247</v>
      </c>
      <c r="H198" t="s">
        <v>561</v>
      </c>
      <c r="L198" s="35">
        <v>12000</v>
      </c>
    </row>
    <row r="199" spans="1:12" hidden="1" x14ac:dyDescent="0.25">
      <c r="A199">
        <v>0</v>
      </c>
      <c r="B199" t="s">
        <v>250</v>
      </c>
      <c r="C199" s="18">
        <v>45808</v>
      </c>
      <c r="D199" t="str">
        <f t="shared" si="6"/>
        <v>6552</v>
      </c>
      <c r="E199" s="18">
        <v>45808</v>
      </c>
      <c r="F199" t="s">
        <v>562</v>
      </c>
      <c r="G199" t="s">
        <v>247</v>
      </c>
      <c r="H199" t="s">
        <v>563</v>
      </c>
      <c r="L199" s="35">
        <v>76800</v>
      </c>
    </row>
    <row r="200" spans="1:12" hidden="1" x14ac:dyDescent="0.25">
      <c r="A200">
        <v>0</v>
      </c>
      <c r="B200" t="s">
        <v>250</v>
      </c>
      <c r="C200" s="18">
        <v>45808</v>
      </c>
      <c r="D200" t="str">
        <f t="shared" si="6"/>
        <v>6552</v>
      </c>
      <c r="E200" s="18">
        <v>45808</v>
      </c>
      <c r="F200" s="32">
        <v>45717</v>
      </c>
      <c r="G200" t="s">
        <v>247</v>
      </c>
      <c r="H200" t="s">
        <v>564</v>
      </c>
      <c r="L200" s="35">
        <v>24000</v>
      </c>
    </row>
    <row r="201" spans="1:12" hidden="1" x14ac:dyDescent="0.25">
      <c r="A201">
        <v>0</v>
      </c>
      <c r="B201" t="s">
        <v>250</v>
      </c>
      <c r="C201" s="18">
        <v>45808</v>
      </c>
      <c r="D201" t="str">
        <f t="shared" si="6"/>
        <v>6552</v>
      </c>
      <c r="E201" s="18">
        <v>45808</v>
      </c>
      <c r="F201" t="s">
        <v>565</v>
      </c>
      <c r="G201" t="s">
        <v>247</v>
      </c>
      <c r="H201" t="s">
        <v>566</v>
      </c>
      <c r="L201" s="35">
        <v>806000</v>
      </c>
    </row>
    <row r="202" spans="1:12" hidden="1" x14ac:dyDescent="0.25">
      <c r="A202">
        <v>0</v>
      </c>
      <c r="B202" t="s">
        <v>250</v>
      </c>
      <c r="C202" s="18">
        <v>45808</v>
      </c>
      <c r="D202" t="str">
        <f t="shared" si="6"/>
        <v>6552</v>
      </c>
      <c r="E202" s="18">
        <v>45808</v>
      </c>
      <c r="F202" t="s">
        <v>567</v>
      </c>
      <c r="G202" t="s">
        <v>247</v>
      </c>
      <c r="H202" t="s">
        <v>568</v>
      </c>
      <c r="L202" s="35">
        <v>30000</v>
      </c>
    </row>
    <row r="203" spans="1:12" hidden="1" x14ac:dyDescent="0.25">
      <c r="A203">
        <v>0</v>
      </c>
      <c r="B203" t="s">
        <v>250</v>
      </c>
      <c r="C203" s="18">
        <v>45808</v>
      </c>
      <c r="D203" t="str">
        <f t="shared" si="6"/>
        <v>6552</v>
      </c>
      <c r="E203" s="18">
        <v>45808</v>
      </c>
      <c r="F203" t="s">
        <v>569</v>
      </c>
      <c r="G203" t="s">
        <v>247</v>
      </c>
      <c r="H203" t="s">
        <v>570</v>
      </c>
      <c r="L203" s="35">
        <v>520000</v>
      </c>
    </row>
    <row r="204" spans="1:12" hidden="1" x14ac:dyDescent="0.25">
      <c r="A204">
        <v>0</v>
      </c>
      <c r="B204" t="s">
        <v>250</v>
      </c>
      <c r="C204" s="18">
        <v>45808</v>
      </c>
      <c r="D204" t="str">
        <f t="shared" si="6"/>
        <v>6552</v>
      </c>
      <c r="E204" s="18">
        <v>45808</v>
      </c>
      <c r="F204" t="str">
        <f>"351842"</f>
        <v>351842</v>
      </c>
      <c r="G204" t="s">
        <v>247</v>
      </c>
      <c r="H204" t="s">
        <v>571</v>
      </c>
      <c r="L204" s="35">
        <v>240000</v>
      </c>
    </row>
    <row r="205" spans="1:12" hidden="1" x14ac:dyDescent="0.25">
      <c r="A205">
        <v>0</v>
      </c>
      <c r="B205" t="s">
        <v>250</v>
      </c>
      <c r="C205" s="18">
        <v>45808</v>
      </c>
      <c r="D205" t="str">
        <f t="shared" si="6"/>
        <v>6552</v>
      </c>
      <c r="E205" s="18">
        <v>45808</v>
      </c>
      <c r="F205" t="s">
        <v>572</v>
      </c>
      <c r="G205" t="s">
        <v>247</v>
      </c>
      <c r="H205" t="s">
        <v>573</v>
      </c>
      <c r="L205" s="35">
        <v>18320</v>
      </c>
    </row>
    <row r="206" spans="1:12" hidden="1" x14ac:dyDescent="0.25">
      <c r="A206">
        <v>0</v>
      </c>
      <c r="B206" t="s">
        <v>250</v>
      </c>
      <c r="C206" s="18">
        <v>45808</v>
      </c>
      <c r="D206" t="str">
        <f t="shared" si="6"/>
        <v>6552</v>
      </c>
      <c r="E206" s="18">
        <v>45808</v>
      </c>
      <c r="F206" t="s">
        <v>574</v>
      </c>
      <c r="G206" t="s">
        <v>247</v>
      </c>
      <c r="H206" t="s">
        <v>575</v>
      </c>
      <c r="L206" s="35">
        <v>178400</v>
      </c>
    </row>
    <row r="207" spans="1:12" hidden="1" x14ac:dyDescent="0.25">
      <c r="A207">
        <v>0</v>
      </c>
      <c r="B207" t="s">
        <v>250</v>
      </c>
      <c r="C207" s="18">
        <v>45808</v>
      </c>
      <c r="D207" t="str">
        <f t="shared" si="6"/>
        <v>6552</v>
      </c>
      <c r="E207" s="18">
        <v>45808</v>
      </c>
      <c r="F207" t="s">
        <v>576</v>
      </c>
      <c r="G207" t="s">
        <v>247</v>
      </c>
      <c r="H207" t="s">
        <v>577</v>
      </c>
      <c r="L207" s="35">
        <v>893200</v>
      </c>
    </row>
    <row r="208" spans="1:12" hidden="1" x14ac:dyDescent="0.25">
      <c r="A208">
        <v>0</v>
      </c>
      <c r="B208" t="s">
        <v>250</v>
      </c>
      <c r="C208" s="18">
        <v>45808</v>
      </c>
      <c r="D208" t="str">
        <f t="shared" si="6"/>
        <v>6552</v>
      </c>
      <c r="E208" s="18">
        <v>45808</v>
      </c>
      <c r="F208" t="str">
        <f>"167150"</f>
        <v>167150</v>
      </c>
      <c r="G208" t="s">
        <v>247</v>
      </c>
      <c r="H208" t="s">
        <v>578</v>
      </c>
      <c r="L208" s="35">
        <v>20400</v>
      </c>
    </row>
    <row r="209" spans="1:12" hidden="1" x14ac:dyDescent="0.25">
      <c r="A209">
        <v>0</v>
      </c>
      <c r="B209" t="s">
        <v>250</v>
      </c>
      <c r="C209" s="18">
        <v>45808</v>
      </c>
      <c r="D209" t="str">
        <f t="shared" si="6"/>
        <v>6552</v>
      </c>
      <c r="E209" s="18">
        <v>45808</v>
      </c>
      <c r="F209" t="s">
        <v>579</v>
      </c>
      <c r="G209" t="s">
        <v>247</v>
      </c>
      <c r="H209" t="s">
        <v>580</v>
      </c>
      <c r="L209" s="35">
        <v>96560</v>
      </c>
    </row>
    <row r="210" spans="1:12" hidden="1" x14ac:dyDescent="0.25">
      <c r="A210">
        <v>0</v>
      </c>
      <c r="B210" t="s">
        <v>250</v>
      </c>
      <c r="C210" s="18">
        <v>45808</v>
      </c>
      <c r="D210" t="str">
        <f t="shared" si="6"/>
        <v>6552</v>
      </c>
      <c r="E210" s="18">
        <v>45808</v>
      </c>
      <c r="F210" t="s">
        <v>581</v>
      </c>
      <c r="G210" t="s">
        <v>247</v>
      </c>
      <c r="H210" t="s">
        <v>582</v>
      </c>
      <c r="L210" s="35">
        <v>95040</v>
      </c>
    </row>
    <row r="211" spans="1:12" hidden="1" x14ac:dyDescent="0.25">
      <c r="A211">
        <v>0</v>
      </c>
      <c r="B211" t="s">
        <v>250</v>
      </c>
      <c r="C211" s="18">
        <v>45808</v>
      </c>
      <c r="D211" t="str">
        <f t="shared" si="6"/>
        <v>6552</v>
      </c>
      <c r="E211" s="18">
        <v>45808</v>
      </c>
      <c r="F211" t="s">
        <v>583</v>
      </c>
      <c r="G211" t="s">
        <v>247</v>
      </c>
      <c r="H211" t="s">
        <v>584</v>
      </c>
      <c r="L211" s="35">
        <v>53600</v>
      </c>
    </row>
    <row r="212" spans="1:12" hidden="1" x14ac:dyDescent="0.25">
      <c r="A212">
        <v>0</v>
      </c>
      <c r="B212" t="s">
        <v>250</v>
      </c>
      <c r="C212" s="18">
        <v>45808</v>
      </c>
      <c r="D212" t="str">
        <f t="shared" si="6"/>
        <v>6552</v>
      </c>
      <c r="E212" s="18">
        <v>45808</v>
      </c>
      <c r="F212" t="str">
        <f>"003958"</f>
        <v>003958</v>
      </c>
      <c r="G212" t="s">
        <v>247</v>
      </c>
      <c r="H212" t="s">
        <v>585</v>
      </c>
      <c r="L212" s="35">
        <v>66400</v>
      </c>
    </row>
    <row r="213" spans="1:12" hidden="1" x14ac:dyDescent="0.25">
      <c r="A213">
        <v>0</v>
      </c>
      <c r="B213" t="s">
        <v>250</v>
      </c>
      <c r="C213" s="18">
        <v>45808</v>
      </c>
      <c r="D213" t="str">
        <f t="shared" si="6"/>
        <v>6552</v>
      </c>
      <c r="E213" s="18">
        <v>45808</v>
      </c>
      <c r="F213" t="str">
        <f>"003245"</f>
        <v>003245</v>
      </c>
      <c r="G213" t="s">
        <v>247</v>
      </c>
      <c r="H213" t="s">
        <v>586</v>
      </c>
      <c r="L213" s="35">
        <v>239680</v>
      </c>
    </row>
    <row r="214" spans="1:12" hidden="1" x14ac:dyDescent="0.25">
      <c r="A214">
        <v>0</v>
      </c>
      <c r="B214" t="s">
        <v>250</v>
      </c>
      <c r="C214" s="18">
        <v>45808</v>
      </c>
      <c r="D214" t="str">
        <f t="shared" si="6"/>
        <v>6552</v>
      </c>
      <c r="E214" s="18">
        <v>45808</v>
      </c>
      <c r="F214" t="s">
        <v>587</v>
      </c>
      <c r="G214" t="s">
        <v>247</v>
      </c>
      <c r="H214" t="s">
        <v>588</v>
      </c>
      <c r="L214" s="35">
        <v>29680</v>
      </c>
    </row>
    <row r="215" spans="1:12" hidden="1" x14ac:dyDescent="0.25">
      <c r="A215">
        <v>0</v>
      </c>
      <c r="B215" t="s">
        <v>250</v>
      </c>
      <c r="C215" s="18">
        <v>45808</v>
      </c>
      <c r="D215" t="str">
        <f t="shared" si="6"/>
        <v>6552</v>
      </c>
      <c r="E215" s="18">
        <v>45808</v>
      </c>
      <c r="F215" t="s">
        <v>589</v>
      </c>
      <c r="G215" t="s">
        <v>247</v>
      </c>
      <c r="H215" t="s">
        <v>590</v>
      </c>
      <c r="L215" s="35">
        <v>1923200</v>
      </c>
    </row>
    <row r="216" spans="1:12" hidden="1" x14ac:dyDescent="0.25">
      <c r="A216">
        <v>0</v>
      </c>
      <c r="B216" t="s">
        <v>250</v>
      </c>
      <c r="C216" s="18">
        <v>45808</v>
      </c>
      <c r="D216" t="str">
        <f t="shared" si="6"/>
        <v>6552</v>
      </c>
      <c r="E216" s="18">
        <v>45808</v>
      </c>
      <c r="F216" t="s">
        <v>591</v>
      </c>
      <c r="G216" t="s">
        <v>247</v>
      </c>
      <c r="H216" t="s">
        <v>592</v>
      </c>
      <c r="L216" s="35">
        <v>32000</v>
      </c>
    </row>
    <row r="217" spans="1:12" hidden="1" x14ac:dyDescent="0.25">
      <c r="A217">
        <v>0</v>
      </c>
      <c r="B217" t="s">
        <v>250</v>
      </c>
      <c r="C217" s="18">
        <v>45815</v>
      </c>
      <c r="D217" t="str">
        <f>"6598"</f>
        <v>6598</v>
      </c>
      <c r="E217" s="18">
        <v>45815</v>
      </c>
      <c r="F217" t="str">
        <f>"24162"</f>
        <v>24162</v>
      </c>
      <c r="G217" t="s">
        <v>247</v>
      </c>
      <c r="H217" t="s">
        <v>593</v>
      </c>
      <c r="L217" s="35">
        <v>60000</v>
      </c>
    </row>
    <row r="218" spans="1:12" hidden="1" x14ac:dyDescent="0.25">
      <c r="A218">
        <v>0</v>
      </c>
      <c r="B218" t="s">
        <v>250</v>
      </c>
      <c r="C218" s="18">
        <v>45814</v>
      </c>
      <c r="D218" t="str">
        <f>"6682"</f>
        <v>6682</v>
      </c>
      <c r="E218" s="18">
        <v>45814</v>
      </c>
      <c r="F218" t="str">
        <f>"24137"</f>
        <v>24137</v>
      </c>
      <c r="G218" t="s">
        <v>247</v>
      </c>
      <c r="H218" t="s">
        <v>593</v>
      </c>
      <c r="L218" s="35">
        <v>158500</v>
      </c>
    </row>
    <row r="219" spans="1:12" x14ac:dyDescent="0.25">
      <c r="A219">
        <v>0</v>
      </c>
      <c r="B219" t="s">
        <v>407</v>
      </c>
      <c r="C219" s="18">
        <v>45828</v>
      </c>
      <c r="D219" t="str">
        <f>"6732"</f>
        <v>6732</v>
      </c>
      <c r="E219" s="18">
        <v>45828</v>
      </c>
      <c r="F219" t="str">
        <f>"24162"</f>
        <v>24162</v>
      </c>
      <c r="G219" t="s">
        <v>247</v>
      </c>
      <c r="H219" t="s">
        <v>594</v>
      </c>
      <c r="L219" s="35">
        <v>800</v>
      </c>
    </row>
    <row r="220" spans="1:12" x14ac:dyDescent="0.25">
      <c r="A220">
        <v>0</v>
      </c>
      <c r="B220" t="s">
        <v>407</v>
      </c>
      <c r="C220" s="18">
        <v>45835</v>
      </c>
      <c r="D220" t="str">
        <f>"6907"</f>
        <v>6907</v>
      </c>
      <c r="E220" s="18">
        <v>45835</v>
      </c>
      <c r="F220" t="str">
        <f>"24137"</f>
        <v>24137</v>
      </c>
      <c r="G220" t="s">
        <v>247</v>
      </c>
      <c r="H220" t="s">
        <v>594</v>
      </c>
      <c r="L220" s="35">
        <v>1500</v>
      </c>
    </row>
    <row r="221" spans="1:12" hidden="1" x14ac:dyDescent="0.25">
      <c r="A221">
        <v>0</v>
      </c>
      <c r="B221" t="s">
        <v>250</v>
      </c>
      <c r="C221" s="18">
        <v>45828</v>
      </c>
      <c r="D221" t="str">
        <f>"6957"</f>
        <v>6957</v>
      </c>
      <c r="E221" s="18">
        <v>45828</v>
      </c>
      <c r="F221" t="str">
        <f>"24432"</f>
        <v>24432</v>
      </c>
      <c r="G221" t="s">
        <v>247</v>
      </c>
      <c r="H221" t="s">
        <v>595</v>
      </c>
      <c r="L221" s="35">
        <v>25200</v>
      </c>
    </row>
    <row r="222" spans="1:12" hidden="1" x14ac:dyDescent="0.25">
      <c r="A222">
        <v>0</v>
      </c>
      <c r="B222" t="s">
        <v>250</v>
      </c>
      <c r="C222" s="18">
        <v>45828</v>
      </c>
      <c r="D222" t="str">
        <f>"6957"</f>
        <v>6957</v>
      </c>
      <c r="E222" s="18">
        <v>45828</v>
      </c>
      <c r="F222" t="str">
        <f>"24433"</f>
        <v>24433</v>
      </c>
      <c r="G222" t="s">
        <v>247</v>
      </c>
      <c r="H222" t="s">
        <v>596</v>
      </c>
      <c r="L222" s="35">
        <v>34800</v>
      </c>
    </row>
    <row r="223" spans="1:12" hidden="1" x14ac:dyDescent="0.25">
      <c r="A223">
        <v>0</v>
      </c>
      <c r="B223" t="s">
        <v>250</v>
      </c>
      <c r="C223" s="18">
        <v>45835</v>
      </c>
      <c r="D223" t="str">
        <f>"6958"</f>
        <v>6958</v>
      </c>
      <c r="E223" s="18">
        <v>45835</v>
      </c>
      <c r="F223" t="str">
        <f>"24478"</f>
        <v>24478</v>
      </c>
      <c r="G223" t="s">
        <v>247</v>
      </c>
      <c r="H223" t="s">
        <v>597</v>
      </c>
      <c r="L223" s="35">
        <v>60480</v>
      </c>
    </row>
    <row r="224" spans="1:12" hidden="1" x14ac:dyDescent="0.25">
      <c r="A224">
        <v>0</v>
      </c>
      <c r="B224" t="s">
        <v>250</v>
      </c>
      <c r="C224" s="18">
        <v>45835</v>
      </c>
      <c r="D224" t="str">
        <f>"6958"</f>
        <v>6958</v>
      </c>
      <c r="E224" s="18">
        <v>45835</v>
      </c>
      <c r="F224" t="str">
        <f>"24465"</f>
        <v>24465</v>
      </c>
      <c r="G224" t="s">
        <v>247</v>
      </c>
      <c r="H224" t="s">
        <v>598</v>
      </c>
      <c r="L224" s="35">
        <v>122640</v>
      </c>
    </row>
    <row r="225" spans="1:12" x14ac:dyDescent="0.25">
      <c r="A225">
        <v>0</v>
      </c>
      <c r="B225" t="s">
        <v>407</v>
      </c>
      <c r="C225" s="18">
        <v>45840</v>
      </c>
      <c r="D225" t="str">
        <f>"7066"</f>
        <v>7066</v>
      </c>
      <c r="E225" s="18">
        <v>45840</v>
      </c>
      <c r="F225" t="str">
        <f>"24432"</f>
        <v>24432</v>
      </c>
      <c r="G225" t="s">
        <v>247</v>
      </c>
      <c r="H225" t="s">
        <v>599</v>
      </c>
      <c r="L225" s="35">
        <v>400</v>
      </c>
    </row>
    <row r="226" spans="1:12" x14ac:dyDescent="0.25">
      <c r="A226">
        <v>0</v>
      </c>
      <c r="B226" t="s">
        <v>407</v>
      </c>
      <c r="C226" s="18">
        <v>45840</v>
      </c>
      <c r="D226" t="str">
        <f>"7066"</f>
        <v>7066</v>
      </c>
      <c r="E226" s="18">
        <v>45840</v>
      </c>
      <c r="F226" t="str">
        <f>"24478"</f>
        <v>24478</v>
      </c>
      <c r="G226" t="s">
        <v>247</v>
      </c>
      <c r="H226" t="s">
        <v>600</v>
      </c>
      <c r="L226" s="35">
        <v>800</v>
      </c>
    </row>
    <row r="227" spans="1:12" x14ac:dyDescent="0.25">
      <c r="A227">
        <v>0</v>
      </c>
      <c r="B227" t="s">
        <v>337</v>
      </c>
      <c r="C227" s="18">
        <v>45838</v>
      </c>
      <c r="D227" t="str">
        <f>"7201"</f>
        <v>7201</v>
      </c>
      <c r="E227" s="18">
        <v>45838</v>
      </c>
      <c r="G227" t="s">
        <v>247</v>
      </c>
      <c r="H227" t="s">
        <v>601</v>
      </c>
      <c r="L227" s="35">
        <v>32650.880000000001</v>
      </c>
    </row>
    <row r="228" spans="1:12" x14ac:dyDescent="0.25">
      <c r="A228">
        <v>0</v>
      </c>
      <c r="B228" t="s">
        <v>337</v>
      </c>
      <c r="C228" s="18">
        <v>45838</v>
      </c>
      <c r="D228" t="str">
        <f>"7202"</f>
        <v>7202</v>
      </c>
      <c r="E228" s="18">
        <v>45838</v>
      </c>
      <c r="G228" t="s">
        <v>247</v>
      </c>
      <c r="H228" t="s">
        <v>602</v>
      </c>
      <c r="L228" s="35">
        <v>10800</v>
      </c>
    </row>
    <row r="229" spans="1:12" x14ac:dyDescent="0.25">
      <c r="A229">
        <v>0</v>
      </c>
      <c r="B229" t="s">
        <v>337</v>
      </c>
      <c r="C229" s="18">
        <v>45819</v>
      </c>
      <c r="D229" t="str">
        <f>"7203"</f>
        <v>7203</v>
      </c>
      <c r="E229" s="18">
        <v>45819</v>
      </c>
      <c r="G229" t="s">
        <v>247</v>
      </c>
      <c r="H229" t="s">
        <v>603</v>
      </c>
      <c r="L229" s="35">
        <v>9600</v>
      </c>
    </row>
    <row r="230" spans="1:12" x14ac:dyDescent="0.25">
      <c r="A230">
        <v>0</v>
      </c>
      <c r="B230" t="s">
        <v>337</v>
      </c>
      <c r="C230" s="18">
        <v>45821</v>
      </c>
      <c r="D230" t="str">
        <f>"7204"</f>
        <v>7204</v>
      </c>
      <c r="E230" s="18">
        <v>45821</v>
      </c>
      <c r="G230" t="s">
        <v>247</v>
      </c>
      <c r="H230" t="s">
        <v>604</v>
      </c>
      <c r="L230" s="35">
        <v>3000</v>
      </c>
    </row>
    <row r="231" spans="1:12" x14ac:dyDescent="0.25">
      <c r="A231">
        <v>0</v>
      </c>
      <c r="B231" t="s">
        <v>337</v>
      </c>
      <c r="C231" s="18">
        <v>45828</v>
      </c>
      <c r="D231" t="str">
        <f>"7205"</f>
        <v>7205</v>
      </c>
      <c r="E231" s="18">
        <v>45828</v>
      </c>
      <c r="G231" t="s">
        <v>247</v>
      </c>
      <c r="H231" t="s">
        <v>605</v>
      </c>
      <c r="L231" s="35">
        <v>3000</v>
      </c>
    </row>
    <row r="232" spans="1:12" hidden="1" x14ac:dyDescent="0.25">
      <c r="A232">
        <v>0</v>
      </c>
      <c r="B232" t="s">
        <v>250</v>
      </c>
      <c r="C232" s="18">
        <v>45842</v>
      </c>
      <c r="D232" t="str">
        <f>"7228"</f>
        <v>7228</v>
      </c>
      <c r="E232" s="18">
        <v>45842</v>
      </c>
      <c r="F232" t="str">
        <f>"24607"</f>
        <v>24607</v>
      </c>
      <c r="G232" t="s">
        <v>247</v>
      </c>
      <c r="H232" t="s">
        <v>606</v>
      </c>
      <c r="L232" s="35">
        <v>46400</v>
      </c>
    </row>
    <row r="233" spans="1:12" hidden="1" x14ac:dyDescent="0.25">
      <c r="A233">
        <v>0</v>
      </c>
      <c r="B233" t="s">
        <v>250</v>
      </c>
      <c r="C233" s="18">
        <v>45828</v>
      </c>
      <c r="D233" t="str">
        <f>"7229"</f>
        <v>7229</v>
      </c>
      <c r="E233" s="18">
        <v>45828</v>
      </c>
      <c r="F233" t="str">
        <f>"24363"</f>
        <v>24363</v>
      </c>
      <c r="G233" t="s">
        <v>247</v>
      </c>
      <c r="H233" t="s">
        <v>596</v>
      </c>
      <c r="L233" s="35">
        <v>1511200</v>
      </c>
    </row>
    <row r="234" spans="1:12" hidden="1" x14ac:dyDescent="0.25">
      <c r="A234">
        <v>0</v>
      </c>
      <c r="B234" t="s">
        <v>250</v>
      </c>
      <c r="C234" s="18">
        <v>45838</v>
      </c>
      <c r="D234" t="str">
        <f>"7370"</f>
        <v>7370</v>
      </c>
      <c r="E234" s="18">
        <v>45838</v>
      </c>
      <c r="F234" t="s">
        <v>607</v>
      </c>
      <c r="G234" t="s">
        <v>247</v>
      </c>
      <c r="H234" t="s">
        <v>608</v>
      </c>
      <c r="L234" s="35">
        <v>110000</v>
      </c>
    </row>
    <row r="235" spans="1:12" hidden="1" x14ac:dyDescent="0.25">
      <c r="A235">
        <v>0</v>
      </c>
      <c r="B235" t="s">
        <v>250</v>
      </c>
      <c r="C235" s="18">
        <v>45869</v>
      </c>
      <c r="D235" t="str">
        <f>"7371"</f>
        <v>7371</v>
      </c>
      <c r="E235" s="18">
        <v>45869</v>
      </c>
      <c r="F235" t="s">
        <v>609</v>
      </c>
      <c r="G235" t="s">
        <v>247</v>
      </c>
      <c r="H235" t="s">
        <v>610</v>
      </c>
      <c r="L235" s="35">
        <v>277680</v>
      </c>
    </row>
    <row r="236" spans="1:12" hidden="1" x14ac:dyDescent="0.25">
      <c r="A236">
        <v>0</v>
      </c>
      <c r="B236" t="s">
        <v>250</v>
      </c>
      <c r="C236" s="18">
        <v>45869</v>
      </c>
      <c r="D236" t="str">
        <f>"7371"</f>
        <v>7371</v>
      </c>
      <c r="E236" s="18">
        <v>45869</v>
      </c>
      <c r="F236" t="s">
        <v>611</v>
      </c>
      <c r="G236" t="s">
        <v>247</v>
      </c>
      <c r="H236" t="s">
        <v>612</v>
      </c>
      <c r="L236" s="35">
        <v>813440</v>
      </c>
    </row>
    <row r="237" spans="1:12" hidden="1" x14ac:dyDescent="0.25">
      <c r="A237">
        <v>0</v>
      </c>
      <c r="B237" t="s">
        <v>250</v>
      </c>
      <c r="C237" s="18">
        <v>45849</v>
      </c>
      <c r="D237" t="str">
        <f>"7455"</f>
        <v>7455</v>
      </c>
      <c r="E237" s="18">
        <v>45849</v>
      </c>
      <c r="F237" t="str">
        <f>"24681"</f>
        <v>24681</v>
      </c>
      <c r="G237" t="s">
        <v>247</v>
      </c>
      <c r="H237" t="s">
        <v>613</v>
      </c>
      <c r="L237" s="35">
        <v>93600</v>
      </c>
    </row>
    <row r="238" spans="1:12" hidden="1" x14ac:dyDescent="0.25">
      <c r="A238">
        <v>0</v>
      </c>
      <c r="B238" t="s">
        <v>250</v>
      </c>
      <c r="C238" s="18">
        <v>45838</v>
      </c>
      <c r="D238" t="str">
        <f>"7509"</f>
        <v>7509</v>
      </c>
      <c r="E238" s="18">
        <v>45838</v>
      </c>
      <c r="F238" t="str">
        <f>"351946"</f>
        <v>351946</v>
      </c>
      <c r="G238" t="s">
        <v>247</v>
      </c>
      <c r="H238" t="s">
        <v>614</v>
      </c>
      <c r="L238" s="35">
        <v>423616</v>
      </c>
    </row>
    <row r="239" spans="1:12" x14ac:dyDescent="0.25">
      <c r="A239">
        <v>0</v>
      </c>
      <c r="B239" t="s">
        <v>407</v>
      </c>
      <c r="C239" s="18">
        <v>45849</v>
      </c>
      <c r="D239" t="str">
        <f>"7537"</f>
        <v>7537</v>
      </c>
      <c r="E239" s="18">
        <v>45849</v>
      </c>
      <c r="F239" t="str">
        <f>"24681"</f>
        <v>24681</v>
      </c>
      <c r="G239" t="s">
        <v>247</v>
      </c>
      <c r="H239" t="s">
        <v>615</v>
      </c>
      <c r="L239" s="35">
        <v>800</v>
      </c>
    </row>
    <row r="240" spans="1:12" hidden="1" x14ac:dyDescent="0.25">
      <c r="A240">
        <v>0</v>
      </c>
      <c r="B240" t="s">
        <v>250</v>
      </c>
      <c r="C240" s="18">
        <v>45838</v>
      </c>
      <c r="D240" t="str">
        <f t="shared" ref="D240:D251" si="7">"7570"</f>
        <v>7570</v>
      </c>
      <c r="E240" s="18">
        <v>45838</v>
      </c>
      <c r="F240" t="s">
        <v>616</v>
      </c>
      <c r="G240" t="s">
        <v>247</v>
      </c>
      <c r="H240" t="s">
        <v>617</v>
      </c>
      <c r="L240" s="35">
        <v>70240</v>
      </c>
    </row>
    <row r="241" spans="1:12" hidden="1" x14ac:dyDescent="0.25">
      <c r="A241">
        <v>0</v>
      </c>
      <c r="B241" t="s">
        <v>250</v>
      </c>
      <c r="C241" s="18">
        <v>45838</v>
      </c>
      <c r="D241" t="str">
        <f t="shared" si="7"/>
        <v>7570</v>
      </c>
      <c r="E241" s="18">
        <v>45838</v>
      </c>
      <c r="F241" t="s">
        <v>618</v>
      </c>
      <c r="G241" t="s">
        <v>247</v>
      </c>
      <c r="H241" t="s">
        <v>619</v>
      </c>
      <c r="L241" s="35">
        <v>18400</v>
      </c>
    </row>
    <row r="242" spans="1:12" hidden="1" x14ac:dyDescent="0.25">
      <c r="A242">
        <v>0</v>
      </c>
      <c r="B242" t="s">
        <v>250</v>
      </c>
      <c r="C242" s="18">
        <v>45838</v>
      </c>
      <c r="D242" t="str">
        <f t="shared" si="7"/>
        <v>7570</v>
      </c>
      <c r="E242" s="18">
        <v>45838</v>
      </c>
      <c r="F242" t="s">
        <v>620</v>
      </c>
      <c r="G242" t="s">
        <v>247</v>
      </c>
      <c r="H242" t="s">
        <v>621</v>
      </c>
      <c r="L242" s="35">
        <v>156160</v>
      </c>
    </row>
    <row r="243" spans="1:12" hidden="1" x14ac:dyDescent="0.25">
      <c r="A243">
        <v>0</v>
      </c>
      <c r="B243" t="s">
        <v>250</v>
      </c>
      <c r="C243" s="18">
        <v>45838</v>
      </c>
      <c r="D243" t="str">
        <f t="shared" si="7"/>
        <v>7570</v>
      </c>
      <c r="E243" s="18">
        <v>45838</v>
      </c>
      <c r="F243" t="s">
        <v>622</v>
      </c>
      <c r="G243" t="s">
        <v>247</v>
      </c>
      <c r="H243" t="s">
        <v>623</v>
      </c>
      <c r="L243" s="35">
        <v>1264400</v>
      </c>
    </row>
    <row r="244" spans="1:12" hidden="1" x14ac:dyDescent="0.25">
      <c r="A244">
        <v>0</v>
      </c>
      <c r="B244" t="s">
        <v>250</v>
      </c>
      <c r="C244" s="18">
        <v>45838</v>
      </c>
      <c r="D244" t="str">
        <f t="shared" si="7"/>
        <v>7570</v>
      </c>
      <c r="E244" s="18">
        <v>45838</v>
      </c>
      <c r="F244" t="s">
        <v>624</v>
      </c>
      <c r="G244" t="s">
        <v>247</v>
      </c>
      <c r="H244" t="s">
        <v>625</v>
      </c>
      <c r="L244" s="35">
        <v>290440</v>
      </c>
    </row>
    <row r="245" spans="1:12" hidden="1" x14ac:dyDescent="0.25">
      <c r="A245">
        <v>0</v>
      </c>
      <c r="B245" t="s">
        <v>250</v>
      </c>
      <c r="C245" s="18">
        <v>45838</v>
      </c>
      <c r="D245" t="str">
        <f t="shared" si="7"/>
        <v>7570</v>
      </c>
      <c r="E245" s="18">
        <v>45838</v>
      </c>
      <c r="F245" t="s">
        <v>626</v>
      </c>
      <c r="G245" t="s">
        <v>247</v>
      </c>
      <c r="H245" t="s">
        <v>627</v>
      </c>
      <c r="L245" s="35">
        <v>120800</v>
      </c>
    </row>
    <row r="246" spans="1:12" hidden="1" x14ac:dyDescent="0.25">
      <c r="A246">
        <v>0</v>
      </c>
      <c r="B246" t="s">
        <v>250</v>
      </c>
      <c r="C246" s="18">
        <v>45838</v>
      </c>
      <c r="D246" t="str">
        <f t="shared" si="7"/>
        <v>7570</v>
      </c>
      <c r="E246" s="18">
        <v>45838</v>
      </c>
      <c r="F246" s="18">
        <v>45758</v>
      </c>
      <c r="G246" t="s">
        <v>247</v>
      </c>
      <c r="H246" t="s">
        <v>628</v>
      </c>
      <c r="L246" s="35">
        <v>13600</v>
      </c>
    </row>
    <row r="247" spans="1:12" hidden="1" x14ac:dyDescent="0.25">
      <c r="A247">
        <v>0</v>
      </c>
      <c r="B247" t="s">
        <v>250</v>
      </c>
      <c r="C247" s="18">
        <v>45838</v>
      </c>
      <c r="D247" t="str">
        <f t="shared" si="7"/>
        <v>7570</v>
      </c>
      <c r="E247" s="18">
        <v>45838</v>
      </c>
      <c r="F247" t="str">
        <f>"256621"</f>
        <v>256621</v>
      </c>
      <c r="G247" t="s">
        <v>247</v>
      </c>
      <c r="H247" t="s">
        <v>629</v>
      </c>
      <c r="L247" s="35">
        <v>120320</v>
      </c>
    </row>
    <row r="248" spans="1:12" hidden="1" x14ac:dyDescent="0.25">
      <c r="A248">
        <v>0</v>
      </c>
      <c r="B248" t="s">
        <v>250</v>
      </c>
      <c r="C248" s="18">
        <v>45838</v>
      </c>
      <c r="D248" t="str">
        <f t="shared" si="7"/>
        <v>7570</v>
      </c>
      <c r="E248" s="18">
        <v>45838</v>
      </c>
      <c r="F248" t="s">
        <v>630</v>
      </c>
      <c r="G248" t="s">
        <v>247</v>
      </c>
      <c r="H248" t="s">
        <v>631</v>
      </c>
      <c r="L248" s="35">
        <v>129440</v>
      </c>
    </row>
    <row r="249" spans="1:12" hidden="1" x14ac:dyDescent="0.25">
      <c r="A249">
        <v>0</v>
      </c>
      <c r="B249" t="s">
        <v>250</v>
      </c>
      <c r="C249" s="18">
        <v>45838</v>
      </c>
      <c r="D249" t="str">
        <f t="shared" si="7"/>
        <v>7570</v>
      </c>
      <c r="E249" s="18">
        <v>45838</v>
      </c>
      <c r="F249" t="str">
        <f>"280645"</f>
        <v>280645</v>
      </c>
      <c r="G249" t="s">
        <v>247</v>
      </c>
      <c r="H249" t="s">
        <v>632</v>
      </c>
      <c r="L249" s="35">
        <v>256080</v>
      </c>
    </row>
    <row r="250" spans="1:12" hidden="1" x14ac:dyDescent="0.25">
      <c r="A250">
        <v>0</v>
      </c>
      <c r="B250" t="s">
        <v>250</v>
      </c>
      <c r="C250" s="18">
        <v>45838</v>
      </c>
      <c r="D250" t="str">
        <f t="shared" si="7"/>
        <v>7570</v>
      </c>
      <c r="E250" s="18">
        <v>45838</v>
      </c>
      <c r="F250" t="s">
        <v>633</v>
      </c>
      <c r="G250" t="s">
        <v>247</v>
      </c>
      <c r="H250" t="s">
        <v>634</v>
      </c>
      <c r="L250" s="35">
        <v>116160</v>
      </c>
    </row>
    <row r="251" spans="1:12" hidden="1" x14ac:dyDescent="0.25">
      <c r="A251">
        <v>0</v>
      </c>
      <c r="B251" t="s">
        <v>250</v>
      </c>
      <c r="C251" s="18">
        <v>45838</v>
      </c>
      <c r="D251" t="str">
        <f t="shared" si="7"/>
        <v>7570</v>
      </c>
      <c r="E251" s="18">
        <v>45838</v>
      </c>
      <c r="F251" t="s">
        <v>635</v>
      </c>
      <c r="G251" t="s">
        <v>247</v>
      </c>
      <c r="H251" t="s">
        <v>636</v>
      </c>
      <c r="L251" s="35">
        <v>30320</v>
      </c>
    </row>
    <row r="252" spans="1:12" hidden="1" x14ac:dyDescent="0.25">
      <c r="A252">
        <v>0</v>
      </c>
      <c r="B252" t="s">
        <v>250</v>
      </c>
      <c r="C252" s="18">
        <v>45849</v>
      </c>
      <c r="D252" t="str">
        <f>"7592"</f>
        <v>7592</v>
      </c>
      <c r="E252" s="18">
        <v>45849</v>
      </c>
      <c r="F252" t="str">
        <f>"24731"</f>
        <v>24731</v>
      </c>
      <c r="G252" t="s">
        <v>247</v>
      </c>
      <c r="H252" t="s">
        <v>613</v>
      </c>
      <c r="L252" s="35">
        <v>121840</v>
      </c>
    </row>
    <row r="253" spans="1:12" x14ac:dyDescent="0.25">
      <c r="A253">
        <v>0</v>
      </c>
      <c r="B253" t="s">
        <v>407</v>
      </c>
      <c r="C253" s="18">
        <v>45854</v>
      </c>
      <c r="D253" t="str">
        <f>"7674"</f>
        <v>7674</v>
      </c>
      <c r="E253" s="18">
        <v>45854</v>
      </c>
      <c r="F253" t="str">
        <f>"24731"</f>
        <v>24731</v>
      </c>
      <c r="G253" t="s">
        <v>247</v>
      </c>
      <c r="H253" t="s">
        <v>615</v>
      </c>
      <c r="L253" s="35">
        <v>1500</v>
      </c>
    </row>
    <row r="254" spans="1:12" hidden="1" x14ac:dyDescent="0.25">
      <c r="A254">
        <v>0</v>
      </c>
      <c r="B254" t="s">
        <v>337</v>
      </c>
      <c r="C254" s="18">
        <v>45861</v>
      </c>
      <c r="D254" t="str">
        <f>"7835"</f>
        <v>7835</v>
      </c>
      <c r="E254" s="18">
        <v>45861</v>
      </c>
      <c r="G254" t="s">
        <v>247</v>
      </c>
      <c r="H254" t="s">
        <v>637</v>
      </c>
      <c r="L254" s="35">
        <v>19912387.52</v>
      </c>
    </row>
    <row r="255" spans="1:12" hidden="1" x14ac:dyDescent="0.25">
      <c r="A255">
        <v>0</v>
      </c>
      <c r="B255" t="s">
        <v>250</v>
      </c>
      <c r="C255" s="18">
        <v>45869</v>
      </c>
      <c r="D255" t="str">
        <f>"7845"</f>
        <v>7845</v>
      </c>
      <c r="E255" s="18">
        <v>45869</v>
      </c>
      <c r="F255" t="s">
        <v>638</v>
      </c>
      <c r="G255" t="s">
        <v>247</v>
      </c>
      <c r="H255" t="s">
        <v>639</v>
      </c>
      <c r="L255" s="35">
        <v>45280</v>
      </c>
    </row>
    <row r="256" spans="1:12" hidden="1" x14ac:dyDescent="0.25">
      <c r="A256">
        <v>0</v>
      </c>
      <c r="B256" t="s">
        <v>248</v>
      </c>
      <c r="C256" s="18">
        <v>45861</v>
      </c>
      <c r="D256" t="str">
        <f>"7955"</f>
        <v>7955</v>
      </c>
      <c r="F256" t="s">
        <v>640</v>
      </c>
      <c r="G256" t="s">
        <v>247</v>
      </c>
      <c r="H256" t="s">
        <v>641</v>
      </c>
      <c r="L256" s="35">
        <v>916703.28</v>
      </c>
    </row>
    <row r="257" spans="1:12" hidden="1" x14ac:dyDescent="0.25">
      <c r="A257">
        <v>0</v>
      </c>
      <c r="B257" t="s">
        <v>244</v>
      </c>
      <c r="C257" s="18">
        <v>45658</v>
      </c>
      <c r="D257" t="str">
        <f>"7979"</f>
        <v>7979</v>
      </c>
      <c r="E257" s="18">
        <v>45283</v>
      </c>
      <c r="F257" t="str">
        <f>"16691"</f>
        <v>16691</v>
      </c>
      <c r="G257" t="s">
        <v>247</v>
      </c>
      <c r="H257" t="s">
        <v>642</v>
      </c>
      <c r="L257" s="35">
        <v>150000</v>
      </c>
    </row>
    <row r="258" spans="1:12" hidden="1" x14ac:dyDescent="0.25">
      <c r="A258">
        <v>0</v>
      </c>
      <c r="B258" t="s">
        <v>244</v>
      </c>
      <c r="C258" s="18">
        <v>45658</v>
      </c>
      <c r="D258" t="str">
        <f>"7980"</f>
        <v>7980</v>
      </c>
      <c r="E258" s="18">
        <v>45261</v>
      </c>
      <c r="F258" t="s">
        <v>643</v>
      </c>
      <c r="G258" t="s">
        <v>247</v>
      </c>
      <c r="H258" t="s">
        <v>644</v>
      </c>
      <c r="L258" s="35">
        <v>78800</v>
      </c>
    </row>
    <row r="259" spans="1:12" hidden="1" x14ac:dyDescent="0.25">
      <c r="A259">
        <v>0</v>
      </c>
      <c r="B259" t="s">
        <v>244</v>
      </c>
      <c r="C259" s="18">
        <v>45658</v>
      </c>
      <c r="D259" t="str">
        <f>"7981"</f>
        <v>7981</v>
      </c>
      <c r="E259" s="18">
        <v>45265</v>
      </c>
      <c r="F259" t="str">
        <f>"331687"</f>
        <v>331687</v>
      </c>
      <c r="G259" t="s">
        <v>645</v>
      </c>
      <c r="H259" t="s">
        <v>646</v>
      </c>
      <c r="L259" s="35">
        <v>600000</v>
      </c>
    </row>
    <row r="260" spans="1:12" hidden="1" x14ac:dyDescent="0.25">
      <c r="A260">
        <v>0</v>
      </c>
      <c r="B260" t="s">
        <v>244</v>
      </c>
      <c r="C260" s="18">
        <v>45658</v>
      </c>
      <c r="D260" t="str">
        <f>"7982"</f>
        <v>7982</v>
      </c>
      <c r="E260" s="18">
        <v>45272</v>
      </c>
      <c r="F260" t="s">
        <v>647</v>
      </c>
      <c r="G260" t="s">
        <v>645</v>
      </c>
      <c r="H260" t="s">
        <v>648</v>
      </c>
      <c r="L260" s="35">
        <v>950400</v>
      </c>
    </row>
    <row r="261" spans="1:12" hidden="1" x14ac:dyDescent="0.25">
      <c r="A261">
        <v>0</v>
      </c>
      <c r="B261" t="s">
        <v>244</v>
      </c>
      <c r="C261" s="18">
        <v>45658</v>
      </c>
      <c r="D261" t="str">
        <f>"7983"</f>
        <v>7983</v>
      </c>
      <c r="E261" s="18">
        <v>45273</v>
      </c>
      <c r="F261" t="s">
        <v>649</v>
      </c>
      <c r="G261" t="s">
        <v>247</v>
      </c>
      <c r="H261" t="s">
        <v>650</v>
      </c>
      <c r="L261" s="35">
        <v>488160</v>
      </c>
    </row>
    <row r="262" spans="1:12" hidden="1" x14ac:dyDescent="0.25">
      <c r="A262">
        <v>0</v>
      </c>
      <c r="B262" t="s">
        <v>244</v>
      </c>
      <c r="C262" s="18">
        <v>45658</v>
      </c>
      <c r="D262" t="str">
        <f>"7984"</f>
        <v>7984</v>
      </c>
      <c r="E262" s="18">
        <v>45273</v>
      </c>
      <c r="F262" t="s">
        <v>651</v>
      </c>
      <c r="G262" t="s">
        <v>247</v>
      </c>
      <c r="H262" t="s">
        <v>652</v>
      </c>
      <c r="L262" s="35">
        <v>756320</v>
      </c>
    </row>
    <row r="263" spans="1:12" hidden="1" x14ac:dyDescent="0.25">
      <c r="A263">
        <v>0</v>
      </c>
      <c r="B263" t="s">
        <v>244</v>
      </c>
      <c r="C263" s="18">
        <v>45658</v>
      </c>
      <c r="D263" t="str">
        <f>"7985"</f>
        <v>7985</v>
      </c>
      <c r="E263" s="18">
        <v>44925</v>
      </c>
      <c r="F263" t="s">
        <v>653</v>
      </c>
      <c r="G263" t="s">
        <v>247</v>
      </c>
      <c r="H263" t="s">
        <v>654</v>
      </c>
      <c r="L263" s="35">
        <v>41600</v>
      </c>
    </row>
    <row r="264" spans="1:12" hidden="1" x14ac:dyDescent="0.25">
      <c r="A264">
        <v>0</v>
      </c>
      <c r="B264" t="s">
        <v>244</v>
      </c>
      <c r="C264" s="18">
        <v>45658</v>
      </c>
      <c r="D264" t="str">
        <f>"7986"</f>
        <v>7986</v>
      </c>
      <c r="E264" s="18">
        <v>44925</v>
      </c>
      <c r="F264" t="s">
        <v>655</v>
      </c>
      <c r="G264" t="s">
        <v>247</v>
      </c>
      <c r="H264" t="s">
        <v>656</v>
      </c>
      <c r="L264" s="35">
        <v>238500</v>
      </c>
    </row>
    <row r="265" spans="1:12" hidden="1" x14ac:dyDescent="0.25">
      <c r="A265">
        <v>0</v>
      </c>
      <c r="B265" t="s">
        <v>244</v>
      </c>
      <c r="C265" s="18">
        <v>45658</v>
      </c>
      <c r="D265" t="str">
        <f>"7987"</f>
        <v>7987</v>
      </c>
      <c r="E265" s="18">
        <v>44925</v>
      </c>
      <c r="F265" t="s">
        <v>657</v>
      </c>
      <c r="G265" t="s">
        <v>247</v>
      </c>
      <c r="H265" t="s">
        <v>658</v>
      </c>
      <c r="L265" s="35">
        <v>21280</v>
      </c>
    </row>
    <row r="266" spans="1:12" hidden="1" x14ac:dyDescent="0.25">
      <c r="A266">
        <v>0</v>
      </c>
      <c r="B266" t="s">
        <v>244</v>
      </c>
      <c r="C266" s="18">
        <v>45658</v>
      </c>
      <c r="D266" t="str">
        <f>"7988"</f>
        <v>7988</v>
      </c>
      <c r="E266" s="18">
        <v>45273</v>
      </c>
      <c r="F266" t="s">
        <v>659</v>
      </c>
      <c r="G266" t="s">
        <v>247</v>
      </c>
      <c r="H266" t="s">
        <v>660</v>
      </c>
      <c r="L266" s="35">
        <v>163440</v>
      </c>
    </row>
    <row r="267" spans="1:12" hidden="1" x14ac:dyDescent="0.25">
      <c r="A267">
        <v>0</v>
      </c>
      <c r="B267" t="s">
        <v>244</v>
      </c>
      <c r="C267" s="18">
        <v>45658</v>
      </c>
      <c r="D267" t="str">
        <f>"7989"</f>
        <v>7989</v>
      </c>
      <c r="E267" s="18">
        <v>45288</v>
      </c>
      <c r="F267" t="s">
        <v>661</v>
      </c>
      <c r="G267" t="s">
        <v>247</v>
      </c>
      <c r="H267" t="s">
        <v>662</v>
      </c>
      <c r="L267" s="35">
        <v>438400</v>
      </c>
    </row>
    <row r="268" spans="1:12" hidden="1" x14ac:dyDescent="0.25">
      <c r="A268">
        <v>0</v>
      </c>
      <c r="B268" t="s">
        <v>244</v>
      </c>
      <c r="C268" s="18">
        <v>45658</v>
      </c>
      <c r="D268" t="str">
        <f>"7990"</f>
        <v>7990</v>
      </c>
      <c r="E268" s="18">
        <v>45288</v>
      </c>
      <c r="F268" s="18">
        <v>45281</v>
      </c>
      <c r="G268" t="s">
        <v>247</v>
      </c>
      <c r="H268" t="s">
        <v>663</v>
      </c>
      <c r="L268" s="35">
        <v>130000</v>
      </c>
    </row>
    <row r="269" spans="1:12" hidden="1" x14ac:dyDescent="0.25">
      <c r="A269">
        <v>0</v>
      </c>
      <c r="B269" t="s">
        <v>244</v>
      </c>
      <c r="C269" s="18">
        <v>45658</v>
      </c>
      <c r="D269" t="str">
        <f>"7991"</f>
        <v>7991</v>
      </c>
      <c r="E269" s="18">
        <v>45272</v>
      </c>
      <c r="F269" t="s">
        <v>664</v>
      </c>
      <c r="G269" t="s">
        <v>247</v>
      </c>
      <c r="H269" t="s">
        <v>665</v>
      </c>
      <c r="L269" s="35">
        <v>89920</v>
      </c>
    </row>
    <row r="270" spans="1:12" hidden="1" x14ac:dyDescent="0.25">
      <c r="A270">
        <v>0</v>
      </c>
      <c r="B270" t="s">
        <v>244</v>
      </c>
      <c r="C270" s="18">
        <v>45658</v>
      </c>
      <c r="D270" t="str">
        <f>"7992"</f>
        <v>7992</v>
      </c>
      <c r="E270" s="18">
        <v>45278</v>
      </c>
      <c r="F270" t="s">
        <v>666</v>
      </c>
      <c r="G270" t="s">
        <v>247</v>
      </c>
      <c r="H270" t="s">
        <v>667</v>
      </c>
      <c r="L270" s="35">
        <v>629920</v>
      </c>
    </row>
    <row r="271" spans="1:12" hidden="1" x14ac:dyDescent="0.25">
      <c r="A271">
        <v>0</v>
      </c>
      <c r="B271" t="s">
        <v>244</v>
      </c>
      <c r="C271" s="18">
        <v>45658</v>
      </c>
      <c r="D271" t="str">
        <f>"7993"</f>
        <v>7993</v>
      </c>
      <c r="E271" s="18">
        <v>45272</v>
      </c>
      <c r="F271" t="s">
        <v>668</v>
      </c>
      <c r="G271" t="s">
        <v>247</v>
      </c>
      <c r="H271" t="s">
        <v>669</v>
      </c>
      <c r="L271" s="35">
        <v>96000</v>
      </c>
    </row>
    <row r="272" spans="1:12" hidden="1" x14ac:dyDescent="0.25">
      <c r="A272">
        <v>0</v>
      </c>
      <c r="B272" t="s">
        <v>244</v>
      </c>
      <c r="C272" s="18">
        <v>45658</v>
      </c>
      <c r="D272" t="str">
        <f>"7994"</f>
        <v>7994</v>
      </c>
      <c r="E272" s="18">
        <v>44876</v>
      </c>
      <c r="F272" t="str">
        <f>"10321"</f>
        <v>10321</v>
      </c>
      <c r="G272" t="s">
        <v>247</v>
      </c>
      <c r="H272" t="s">
        <v>670</v>
      </c>
      <c r="L272" s="35">
        <v>300000</v>
      </c>
    </row>
    <row r="273" spans="1:12" hidden="1" x14ac:dyDescent="0.25">
      <c r="A273">
        <v>0</v>
      </c>
      <c r="B273" t="s">
        <v>244</v>
      </c>
      <c r="C273" s="18">
        <v>45658</v>
      </c>
      <c r="D273" t="str">
        <f>"7995"</f>
        <v>7995</v>
      </c>
      <c r="E273" s="18">
        <v>44876</v>
      </c>
      <c r="F273" t="str">
        <f>"10322"</f>
        <v>10322</v>
      </c>
      <c r="G273" t="s">
        <v>247</v>
      </c>
      <c r="H273" t="s">
        <v>671</v>
      </c>
      <c r="L273" s="35">
        <v>118000</v>
      </c>
    </row>
    <row r="274" spans="1:12" hidden="1" x14ac:dyDescent="0.25">
      <c r="A274">
        <v>0</v>
      </c>
      <c r="B274" t="s">
        <v>244</v>
      </c>
      <c r="C274" s="18">
        <v>45658</v>
      </c>
      <c r="D274" t="str">
        <f>"7996"</f>
        <v>7996</v>
      </c>
      <c r="E274" s="18">
        <v>44926</v>
      </c>
      <c r="F274" t="s">
        <v>672</v>
      </c>
      <c r="G274" t="s">
        <v>247</v>
      </c>
      <c r="H274" t="s">
        <v>673</v>
      </c>
      <c r="L274" s="35">
        <v>47360</v>
      </c>
    </row>
    <row r="275" spans="1:12" hidden="1" x14ac:dyDescent="0.25">
      <c r="A275">
        <v>0</v>
      </c>
      <c r="B275" t="s">
        <v>244</v>
      </c>
      <c r="C275" s="18">
        <v>45658</v>
      </c>
      <c r="D275" t="str">
        <f>"7997"</f>
        <v>7997</v>
      </c>
      <c r="E275" s="18">
        <v>45274</v>
      </c>
      <c r="F275" t="s">
        <v>674</v>
      </c>
      <c r="G275" t="s">
        <v>247</v>
      </c>
      <c r="H275" t="s">
        <v>675</v>
      </c>
      <c r="L275" s="35">
        <v>16080</v>
      </c>
    </row>
    <row r="276" spans="1:12" hidden="1" x14ac:dyDescent="0.25">
      <c r="A276">
        <v>0</v>
      </c>
      <c r="B276" t="s">
        <v>244</v>
      </c>
      <c r="C276" s="18">
        <v>45658</v>
      </c>
      <c r="D276" t="str">
        <f>"7998"</f>
        <v>7998</v>
      </c>
      <c r="E276" s="18">
        <v>45287</v>
      </c>
      <c r="F276" t="str">
        <f>"564165"</f>
        <v>564165</v>
      </c>
      <c r="G276" t="s">
        <v>247</v>
      </c>
      <c r="H276" t="s">
        <v>676</v>
      </c>
      <c r="L276" s="35">
        <v>127600</v>
      </c>
    </row>
    <row r="277" spans="1:12" hidden="1" x14ac:dyDescent="0.25">
      <c r="A277">
        <v>0</v>
      </c>
      <c r="B277" t="s">
        <v>244</v>
      </c>
      <c r="C277" s="18">
        <v>45658</v>
      </c>
      <c r="D277" t="str">
        <f>"7999"</f>
        <v>7999</v>
      </c>
      <c r="E277" s="18">
        <v>45289</v>
      </c>
      <c r="F277" t="s">
        <v>677</v>
      </c>
      <c r="G277" t="s">
        <v>247</v>
      </c>
      <c r="H277" t="s">
        <v>678</v>
      </c>
      <c r="L277" s="35">
        <v>288000</v>
      </c>
    </row>
    <row r="278" spans="1:12" hidden="1" x14ac:dyDescent="0.25">
      <c r="A278">
        <v>0</v>
      </c>
      <c r="B278" t="s">
        <v>244</v>
      </c>
      <c r="C278" s="18">
        <v>45658</v>
      </c>
      <c r="D278" t="str">
        <f>"8000"</f>
        <v>8000</v>
      </c>
      <c r="E278" s="18">
        <v>45289</v>
      </c>
      <c r="F278" t="s">
        <v>679</v>
      </c>
      <c r="G278" t="s">
        <v>247</v>
      </c>
      <c r="H278" t="s">
        <v>680</v>
      </c>
      <c r="L278" s="35">
        <v>420280</v>
      </c>
    </row>
    <row r="279" spans="1:12" hidden="1" x14ac:dyDescent="0.25">
      <c r="A279">
        <v>0</v>
      </c>
      <c r="B279" t="s">
        <v>244</v>
      </c>
      <c r="C279" s="18">
        <v>45658</v>
      </c>
      <c r="D279" t="str">
        <f>"8001"</f>
        <v>8001</v>
      </c>
      <c r="E279" s="18">
        <v>44939</v>
      </c>
      <c r="F279" t="str">
        <f>"10926"</f>
        <v>10926</v>
      </c>
      <c r="G279" t="s">
        <v>247</v>
      </c>
      <c r="H279" t="s">
        <v>681</v>
      </c>
      <c r="L279" s="35">
        <v>84000</v>
      </c>
    </row>
    <row r="280" spans="1:12" hidden="1" x14ac:dyDescent="0.25">
      <c r="A280">
        <v>0</v>
      </c>
      <c r="B280" t="s">
        <v>244</v>
      </c>
      <c r="C280" s="18">
        <v>45658</v>
      </c>
      <c r="D280" t="str">
        <f>"8002"</f>
        <v>8002</v>
      </c>
      <c r="E280" s="18">
        <v>45289</v>
      </c>
      <c r="F280" t="str">
        <f>"16779"</f>
        <v>16779</v>
      </c>
      <c r="G280" t="s">
        <v>247</v>
      </c>
      <c r="H280" t="s">
        <v>682</v>
      </c>
      <c r="L280" s="35">
        <v>220000</v>
      </c>
    </row>
    <row r="281" spans="1:12" hidden="1" x14ac:dyDescent="0.25">
      <c r="A281">
        <v>0</v>
      </c>
      <c r="B281" t="s">
        <v>244</v>
      </c>
      <c r="C281" s="18">
        <v>45658</v>
      </c>
      <c r="D281" t="str">
        <f>"8003"</f>
        <v>8003</v>
      </c>
      <c r="E281" s="18">
        <v>45291</v>
      </c>
      <c r="F281" t="str">
        <f>"926"</f>
        <v>926</v>
      </c>
      <c r="G281" t="s">
        <v>247</v>
      </c>
      <c r="H281" t="s">
        <v>683</v>
      </c>
      <c r="L281" s="35">
        <v>560000</v>
      </c>
    </row>
    <row r="282" spans="1:12" hidden="1" x14ac:dyDescent="0.25">
      <c r="A282">
        <v>0</v>
      </c>
      <c r="B282" t="s">
        <v>244</v>
      </c>
      <c r="C282" s="18">
        <v>45658</v>
      </c>
      <c r="D282" t="str">
        <f>"8004"</f>
        <v>8004</v>
      </c>
      <c r="E282" s="18">
        <v>45289</v>
      </c>
      <c r="F282" t="str">
        <f>"16780"</f>
        <v>16780</v>
      </c>
      <c r="G282" t="s">
        <v>247</v>
      </c>
      <c r="H282" t="s">
        <v>684</v>
      </c>
      <c r="L282" s="35">
        <v>32000</v>
      </c>
    </row>
    <row r="283" spans="1:12" hidden="1" x14ac:dyDescent="0.25">
      <c r="A283">
        <v>0</v>
      </c>
      <c r="B283" t="s">
        <v>244</v>
      </c>
      <c r="C283" s="18">
        <v>45658</v>
      </c>
      <c r="D283" t="str">
        <f>"8005"</f>
        <v>8005</v>
      </c>
      <c r="E283" s="18">
        <v>44926</v>
      </c>
      <c r="F283" t="str">
        <f>"008206"</f>
        <v>008206</v>
      </c>
      <c r="G283" t="s">
        <v>247</v>
      </c>
      <c r="H283" t="s">
        <v>685</v>
      </c>
      <c r="L283" s="35">
        <v>38160</v>
      </c>
    </row>
    <row r="284" spans="1:12" hidden="1" x14ac:dyDescent="0.25">
      <c r="A284">
        <v>0</v>
      </c>
      <c r="B284" t="s">
        <v>244</v>
      </c>
      <c r="C284" s="18">
        <v>45658</v>
      </c>
      <c r="D284" t="str">
        <f>"8006"</f>
        <v>8006</v>
      </c>
      <c r="E284" s="18">
        <v>45288</v>
      </c>
      <c r="F284" t="s">
        <v>686</v>
      </c>
      <c r="G284" t="s">
        <v>247</v>
      </c>
      <c r="H284" t="s">
        <v>687</v>
      </c>
      <c r="L284" s="35">
        <v>32400</v>
      </c>
    </row>
    <row r="285" spans="1:12" hidden="1" x14ac:dyDescent="0.25">
      <c r="A285">
        <v>0</v>
      </c>
      <c r="B285" t="s">
        <v>244</v>
      </c>
      <c r="C285" s="18">
        <v>45658</v>
      </c>
      <c r="D285" t="str">
        <f>"8007"</f>
        <v>8007</v>
      </c>
      <c r="E285" s="18">
        <v>44926</v>
      </c>
      <c r="F285" t="s">
        <v>688</v>
      </c>
      <c r="G285" t="s">
        <v>247</v>
      </c>
      <c r="H285" t="s">
        <v>689</v>
      </c>
      <c r="L285" s="35">
        <v>88000</v>
      </c>
    </row>
    <row r="286" spans="1:12" hidden="1" x14ac:dyDescent="0.25">
      <c r="A286">
        <v>0</v>
      </c>
      <c r="B286" t="s">
        <v>244</v>
      </c>
      <c r="C286" s="18">
        <v>45658</v>
      </c>
      <c r="D286" t="str">
        <f>"8008"</f>
        <v>8008</v>
      </c>
      <c r="E286" s="18">
        <v>44926</v>
      </c>
      <c r="F286" t="s">
        <v>690</v>
      </c>
      <c r="G286" t="s">
        <v>247</v>
      </c>
      <c r="H286" t="s">
        <v>691</v>
      </c>
      <c r="L286" s="35">
        <v>24000</v>
      </c>
    </row>
    <row r="287" spans="1:12" hidden="1" x14ac:dyDescent="0.25">
      <c r="A287">
        <v>0</v>
      </c>
      <c r="B287" t="s">
        <v>244</v>
      </c>
      <c r="C287" s="18">
        <v>45658</v>
      </c>
      <c r="D287" t="str">
        <f>"8009"</f>
        <v>8009</v>
      </c>
      <c r="E287" s="18">
        <v>44926</v>
      </c>
      <c r="F287" t="str">
        <f>"498074"</f>
        <v>498074</v>
      </c>
      <c r="G287" t="s">
        <v>247</v>
      </c>
      <c r="H287" t="s">
        <v>692</v>
      </c>
      <c r="L287" s="35">
        <v>97760</v>
      </c>
    </row>
    <row r="288" spans="1:12" hidden="1" x14ac:dyDescent="0.25">
      <c r="A288">
        <v>0</v>
      </c>
      <c r="B288" t="s">
        <v>244</v>
      </c>
      <c r="C288" s="18">
        <v>45658</v>
      </c>
      <c r="D288" t="str">
        <f>"8010"</f>
        <v>8010</v>
      </c>
      <c r="E288" s="18">
        <v>44926</v>
      </c>
      <c r="F288" t="s">
        <v>693</v>
      </c>
      <c r="G288" t="s">
        <v>247</v>
      </c>
      <c r="H288" t="s">
        <v>694</v>
      </c>
      <c r="L288" s="35">
        <v>8000</v>
      </c>
    </row>
    <row r="289" spans="1:12" hidden="1" x14ac:dyDescent="0.25">
      <c r="A289">
        <v>0</v>
      </c>
      <c r="B289" t="s">
        <v>244</v>
      </c>
      <c r="C289" s="18">
        <v>45658</v>
      </c>
      <c r="D289" t="str">
        <f>"8011"</f>
        <v>8011</v>
      </c>
      <c r="E289" s="18">
        <v>44926</v>
      </c>
      <c r="F289" t="s">
        <v>695</v>
      </c>
      <c r="G289" t="s">
        <v>247</v>
      </c>
      <c r="H289" t="s">
        <v>696</v>
      </c>
      <c r="L289" s="35">
        <v>24000</v>
      </c>
    </row>
    <row r="290" spans="1:12" hidden="1" x14ac:dyDescent="0.25">
      <c r="A290">
        <v>0</v>
      </c>
      <c r="B290" t="s">
        <v>244</v>
      </c>
      <c r="C290" s="18">
        <v>45658</v>
      </c>
      <c r="D290" t="str">
        <f>"8012"</f>
        <v>8012</v>
      </c>
      <c r="E290" s="18">
        <v>44926</v>
      </c>
      <c r="F290" t="s">
        <v>697</v>
      </c>
      <c r="G290" t="s">
        <v>247</v>
      </c>
      <c r="H290" t="s">
        <v>698</v>
      </c>
      <c r="L290" s="35">
        <v>29600</v>
      </c>
    </row>
    <row r="291" spans="1:12" hidden="1" x14ac:dyDescent="0.25">
      <c r="A291">
        <v>0</v>
      </c>
      <c r="B291" t="s">
        <v>244</v>
      </c>
      <c r="C291" s="18">
        <v>45658</v>
      </c>
      <c r="D291" t="str">
        <f>"8013"</f>
        <v>8013</v>
      </c>
      <c r="E291" s="18">
        <v>44926</v>
      </c>
      <c r="F291" t="s">
        <v>699</v>
      </c>
      <c r="G291" t="s">
        <v>247</v>
      </c>
      <c r="H291" t="s">
        <v>700</v>
      </c>
      <c r="L291" s="35">
        <v>240000</v>
      </c>
    </row>
    <row r="292" spans="1:12" hidden="1" x14ac:dyDescent="0.25">
      <c r="A292">
        <v>0</v>
      </c>
      <c r="B292" t="s">
        <v>244</v>
      </c>
      <c r="C292" s="18">
        <v>45658</v>
      </c>
      <c r="D292" t="str">
        <f>"8014"</f>
        <v>8014</v>
      </c>
      <c r="E292" s="18">
        <v>44926</v>
      </c>
      <c r="F292" t="str">
        <f>"19522"</f>
        <v>19522</v>
      </c>
      <c r="G292" t="s">
        <v>247</v>
      </c>
      <c r="H292" t="s">
        <v>701</v>
      </c>
      <c r="L292" s="35">
        <v>400000</v>
      </c>
    </row>
    <row r="293" spans="1:12" hidden="1" x14ac:dyDescent="0.25">
      <c r="A293">
        <v>0</v>
      </c>
      <c r="B293" t="s">
        <v>244</v>
      </c>
      <c r="C293" s="18">
        <v>45658</v>
      </c>
      <c r="D293" t="str">
        <f>"8015"</f>
        <v>8015</v>
      </c>
      <c r="E293" s="18">
        <v>44926</v>
      </c>
      <c r="F293" t="str">
        <f>"0279"</f>
        <v>0279</v>
      </c>
      <c r="G293" t="s">
        <v>247</v>
      </c>
      <c r="H293" t="s">
        <v>702</v>
      </c>
      <c r="L293" s="35">
        <v>320000</v>
      </c>
    </row>
    <row r="294" spans="1:12" hidden="1" x14ac:dyDescent="0.25">
      <c r="A294">
        <v>0</v>
      </c>
      <c r="B294" t="s">
        <v>244</v>
      </c>
      <c r="C294" s="18">
        <v>45658</v>
      </c>
      <c r="D294" t="str">
        <f>"8016"</f>
        <v>8016</v>
      </c>
      <c r="E294" s="18">
        <v>44926</v>
      </c>
      <c r="F294" t="s">
        <v>703</v>
      </c>
      <c r="G294" t="s">
        <v>247</v>
      </c>
      <c r="H294" t="s">
        <v>704</v>
      </c>
      <c r="L294" s="35">
        <v>40000</v>
      </c>
    </row>
    <row r="295" spans="1:12" hidden="1" x14ac:dyDescent="0.25">
      <c r="A295">
        <v>0</v>
      </c>
      <c r="B295" t="s">
        <v>244</v>
      </c>
      <c r="C295" s="18">
        <v>45658</v>
      </c>
      <c r="D295" t="str">
        <f>"8017"</f>
        <v>8017</v>
      </c>
      <c r="E295" s="18">
        <v>44926</v>
      </c>
      <c r="F295" t="s">
        <v>705</v>
      </c>
      <c r="G295" t="s">
        <v>247</v>
      </c>
      <c r="H295" t="s">
        <v>706</v>
      </c>
      <c r="L295" s="35">
        <v>110000</v>
      </c>
    </row>
    <row r="296" spans="1:12" hidden="1" x14ac:dyDescent="0.25">
      <c r="A296">
        <v>0</v>
      </c>
      <c r="B296" t="s">
        <v>244</v>
      </c>
      <c r="C296" s="18">
        <v>45658</v>
      </c>
      <c r="D296" t="str">
        <f>"8018"</f>
        <v>8018</v>
      </c>
      <c r="E296" s="18">
        <v>44926</v>
      </c>
      <c r="F296" t="s">
        <v>707</v>
      </c>
      <c r="G296" t="s">
        <v>247</v>
      </c>
      <c r="H296" t="s">
        <v>708</v>
      </c>
      <c r="L296" s="35">
        <v>1084240</v>
      </c>
    </row>
    <row r="297" spans="1:12" hidden="1" x14ac:dyDescent="0.25">
      <c r="A297">
        <v>0</v>
      </c>
      <c r="B297" t="s">
        <v>244</v>
      </c>
      <c r="C297" s="18">
        <v>45658</v>
      </c>
      <c r="D297" t="str">
        <f>"8019"</f>
        <v>8019</v>
      </c>
      <c r="E297" s="18">
        <v>44926</v>
      </c>
      <c r="F297" t="s">
        <v>709</v>
      </c>
      <c r="G297" t="s">
        <v>247</v>
      </c>
      <c r="H297" t="s">
        <v>710</v>
      </c>
      <c r="L297" s="35">
        <v>31440</v>
      </c>
    </row>
    <row r="298" spans="1:12" hidden="1" x14ac:dyDescent="0.25">
      <c r="A298">
        <v>0</v>
      </c>
      <c r="B298" t="s">
        <v>244</v>
      </c>
      <c r="C298" s="18">
        <v>45658</v>
      </c>
      <c r="D298" t="str">
        <f>"8020"</f>
        <v>8020</v>
      </c>
      <c r="E298" s="18">
        <v>44926</v>
      </c>
      <c r="F298" t="str">
        <f>"009598"</f>
        <v>009598</v>
      </c>
      <c r="G298" t="s">
        <v>247</v>
      </c>
      <c r="H298" t="s">
        <v>711</v>
      </c>
      <c r="L298" s="35">
        <v>47280</v>
      </c>
    </row>
    <row r="299" spans="1:12" hidden="1" x14ac:dyDescent="0.25">
      <c r="A299">
        <v>0</v>
      </c>
      <c r="B299" t="s">
        <v>244</v>
      </c>
      <c r="C299" s="18">
        <v>45658</v>
      </c>
      <c r="D299" t="str">
        <f>"8021"</f>
        <v>8021</v>
      </c>
      <c r="E299" s="18">
        <v>44926</v>
      </c>
      <c r="F299" t="s">
        <v>712</v>
      </c>
      <c r="G299" t="s">
        <v>247</v>
      </c>
      <c r="H299" t="s">
        <v>713</v>
      </c>
      <c r="L299" s="35">
        <v>114320</v>
      </c>
    </row>
    <row r="300" spans="1:12" hidden="1" x14ac:dyDescent="0.25">
      <c r="A300">
        <v>0</v>
      </c>
      <c r="B300" t="s">
        <v>244</v>
      </c>
      <c r="C300" s="18">
        <v>45658</v>
      </c>
      <c r="D300" t="str">
        <f>"8022"</f>
        <v>8022</v>
      </c>
      <c r="E300" s="18">
        <v>44926</v>
      </c>
      <c r="F300" s="18">
        <v>44872</v>
      </c>
      <c r="G300" t="s">
        <v>247</v>
      </c>
      <c r="H300" t="s">
        <v>714</v>
      </c>
      <c r="L300" s="35">
        <v>316800</v>
      </c>
    </row>
    <row r="301" spans="1:12" hidden="1" x14ac:dyDescent="0.25">
      <c r="A301">
        <v>0</v>
      </c>
      <c r="B301" t="s">
        <v>244</v>
      </c>
      <c r="C301" s="18">
        <v>45658</v>
      </c>
      <c r="D301" t="str">
        <f>"8023"</f>
        <v>8023</v>
      </c>
      <c r="E301" s="18">
        <v>44926</v>
      </c>
      <c r="F301" t="str">
        <f>"236412"</f>
        <v>236412</v>
      </c>
      <c r="G301" t="s">
        <v>247</v>
      </c>
      <c r="H301" t="s">
        <v>715</v>
      </c>
      <c r="L301" s="35">
        <v>45040</v>
      </c>
    </row>
    <row r="302" spans="1:12" hidden="1" x14ac:dyDescent="0.25">
      <c r="A302">
        <v>0</v>
      </c>
      <c r="B302" t="s">
        <v>244</v>
      </c>
      <c r="C302" s="18">
        <v>45658</v>
      </c>
      <c r="D302" t="str">
        <f>"8024"</f>
        <v>8024</v>
      </c>
      <c r="E302" s="18">
        <v>44926</v>
      </c>
      <c r="F302" t="str">
        <f>"221697"</f>
        <v>221697</v>
      </c>
      <c r="G302" t="s">
        <v>247</v>
      </c>
      <c r="H302" t="s">
        <v>716</v>
      </c>
      <c r="L302" s="35">
        <v>10560</v>
      </c>
    </row>
    <row r="303" spans="1:12" hidden="1" x14ac:dyDescent="0.25">
      <c r="A303">
        <v>0</v>
      </c>
      <c r="B303" t="s">
        <v>244</v>
      </c>
      <c r="C303" s="18">
        <v>45658</v>
      </c>
      <c r="D303" t="str">
        <f>"8025"</f>
        <v>8025</v>
      </c>
      <c r="E303" s="18">
        <v>44926</v>
      </c>
      <c r="F303" t="str">
        <f>"167518"</f>
        <v>167518</v>
      </c>
      <c r="G303" t="s">
        <v>247</v>
      </c>
      <c r="H303" t="s">
        <v>717</v>
      </c>
      <c r="L303" s="35">
        <v>138800</v>
      </c>
    </row>
    <row r="304" spans="1:12" hidden="1" x14ac:dyDescent="0.25">
      <c r="A304">
        <v>0</v>
      </c>
      <c r="B304" t="s">
        <v>250</v>
      </c>
      <c r="C304" s="18">
        <v>45869</v>
      </c>
      <c r="D304" t="str">
        <f>"8025"</f>
        <v>8025</v>
      </c>
      <c r="E304" s="18">
        <v>45869</v>
      </c>
      <c r="F304" t="s">
        <v>718</v>
      </c>
      <c r="G304" t="s">
        <v>247</v>
      </c>
      <c r="H304" t="s">
        <v>719</v>
      </c>
      <c r="L304" s="35">
        <v>347440</v>
      </c>
    </row>
    <row r="305" spans="1:12" hidden="1" x14ac:dyDescent="0.25">
      <c r="A305">
        <v>0</v>
      </c>
      <c r="B305" t="s">
        <v>244</v>
      </c>
      <c r="C305" s="18">
        <v>45658</v>
      </c>
      <c r="D305" t="str">
        <f>"8026"</f>
        <v>8026</v>
      </c>
      <c r="E305" s="18">
        <v>44926</v>
      </c>
      <c r="F305" t="s">
        <v>720</v>
      </c>
      <c r="G305" t="s">
        <v>247</v>
      </c>
      <c r="H305" t="s">
        <v>721</v>
      </c>
      <c r="L305" s="35">
        <v>470160</v>
      </c>
    </row>
    <row r="306" spans="1:12" hidden="1" x14ac:dyDescent="0.25">
      <c r="A306">
        <v>0</v>
      </c>
      <c r="B306" t="s">
        <v>244</v>
      </c>
      <c r="C306" s="18">
        <v>45658</v>
      </c>
      <c r="D306" t="str">
        <f>"8027"</f>
        <v>8027</v>
      </c>
      <c r="E306" s="18">
        <v>44926</v>
      </c>
      <c r="F306" s="32">
        <v>44866</v>
      </c>
      <c r="G306" t="s">
        <v>247</v>
      </c>
      <c r="H306" t="s">
        <v>722</v>
      </c>
      <c r="L306" s="35">
        <v>60960</v>
      </c>
    </row>
    <row r="307" spans="1:12" hidden="1" x14ac:dyDescent="0.25">
      <c r="A307">
        <v>0</v>
      </c>
      <c r="B307" t="s">
        <v>244</v>
      </c>
      <c r="C307" s="18">
        <v>45658</v>
      </c>
      <c r="D307" t="str">
        <f>"8028"</f>
        <v>8028</v>
      </c>
      <c r="E307" s="18">
        <v>44926</v>
      </c>
      <c r="F307" t="s">
        <v>723</v>
      </c>
      <c r="G307" t="s">
        <v>247</v>
      </c>
      <c r="H307" t="s">
        <v>724</v>
      </c>
      <c r="L307" s="35">
        <v>101280</v>
      </c>
    </row>
    <row r="308" spans="1:12" hidden="1" x14ac:dyDescent="0.25">
      <c r="A308">
        <v>0</v>
      </c>
      <c r="B308" t="s">
        <v>244</v>
      </c>
      <c r="C308" s="18">
        <v>45658</v>
      </c>
      <c r="D308" t="str">
        <f>"8029"</f>
        <v>8029</v>
      </c>
      <c r="E308" s="18">
        <v>44926</v>
      </c>
      <c r="F308" t="s">
        <v>725</v>
      </c>
      <c r="G308" t="s">
        <v>247</v>
      </c>
      <c r="H308" t="s">
        <v>726</v>
      </c>
      <c r="L308" s="35">
        <v>58240</v>
      </c>
    </row>
    <row r="309" spans="1:12" hidden="1" x14ac:dyDescent="0.25">
      <c r="A309">
        <v>0</v>
      </c>
      <c r="B309" t="s">
        <v>244</v>
      </c>
      <c r="C309" s="18">
        <v>45658</v>
      </c>
      <c r="D309" t="str">
        <f>"8030"</f>
        <v>8030</v>
      </c>
      <c r="E309" s="18">
        <v>44926</v>
      </c>
      <c r="F309" t="s">
        <v>727</v>
      </c>
      <c r="G309" t="s">
        <v>247</v>
      </c>
      <c r="H309" t="s">
        <v>728</v>
      </c>
      <c r="L309" s="35">
        <v>12000</v>
      </c>
    </row>
    <row r="310" spans="1:12" hidden="1" x14ac:dyDescent="0.25">
      <c r="A310">
        <v>0</v>
      </c>
      <c r="B310" t="s">
        <v>244</v>
      </c>
      <c r="C310" s="18">
        <v>45658</v>
      </c>
      <c r="D310" t="str">
        <f>"8031"</f>
        <v>8031</v>
      </c>
      <c r="E310" s="18">
        <v>44926</v>
      </c>
      <c r="F310" t="s">
        <v>729</v>
      </c>
      <c r="G310" t="s">
        <v>247</v>
      </c>
      <c r="H310" t="s">
        <v>730</v>
      </c>
      <c r="L310" s="35">
        <v>667200</v>
      </c>
    </row>
    <row r="311" spans="1:12" hidden="1" x14ac:dyDescent="0.25">
      <c r="A311">
        <v>0</v>
      </c>
      <c r="B311" t="s">
        <v>244</v>
      </c>
      <c r="C311" s="18">
        <v>45658</v>
      </c>
      <c r="D311" t="str">
        <f>"8032"</f>
        <v>8032</v>
      </c>
      <c r="E311" s="18">
        <v>44926</v>
      </c>
      <c r="F311" t="s">
        <v>731</v>
      </c>
      <c r="G311" t="s">
        <v>247</v>
      </c>
      <c r="H311" t="s">
        <v>732</v>
      </c>
      <c r="L311" s="35">
        <v>96000</v>
      </c>
    </row>
    <row r="312" spans="1:12" hidden="1" x14ac:dyDescent="0.25">
      <c r="A312">
        <v>0</v>
      </c>
      <c r="B312" t="s">
        <v>244</v>
      </c>
      <c r="C312" s="18">
        <v>45658</v>
      </c>
      <c r="D312" t="str">
        <f>"8033"</f>
        <v>8033</v>
      </c>
      <c r="E312" s="18">
        <v>45273</v>
      </c>
      <c r="F312" t="str">
        <f>"243848"</f>
        <v>243848</v>
      </c>
      <c r="G312" t="s">
        <v>247</v>
      </c>
      <c r="H312" t="s">
        <v>733</v>
      </c>
      <c r="L312" s="35">
        <v>351920</v>
      </c>
    </row>
    <row r="313" spans="1:12" hidden="1" x14ac:dyDescent="0.25">
      <c r="A313">
        <v>0</v>
      </c>
      <c r="B313" t="s">
        <v>244</v>
      </c>
      <c r="C313" s="18">
        <v>45658</v>
      </c>
      <c r="D313" t="str">
        <f>"8034"</f>
        <v>8034</v>
      </c>
      <c r="E313" s="18">
        <v>45286</v>
      </c>
      <c r="F313" t="s">
        <v>734</v>
      </c>
      <c r="G313" t="s">
        <v>247</v>
      </c>
      <c r="H313" t="s">
        <v>735</v>
      </c>
      <c r="L313" s="35">
        <v>92000</v>
      </c>
    </row>
    <row r="314" spans="1:12" hidden="1" x14ac:dyDescent="0.25">
      <c r="A314">
        <v>0</v>
      </c>
      <c r="B314" t="s">
        <v>244</v>
      </c>
      <c r="C314" s="18">
        <v>45658</v>
      </c>
      <c r="D314" t="str">
        <f>"8035"</f>
        <v>8035</v>
      </c>
      <c r="E314" s="18">
        <v>45288</v>
      </c>
      <c r="F314" t="s">
        <v>736</v>
      </c>
      <c r="G314" t="s">
        <v>247</v>
      </c>
      <c r="H314" t="s">
        <v>737</v>
      </c>
      <c r="L314" s="35">
        <v>96000</v>
      </c>
    </row>
    <row r="315" spans="1:12" hidden="1" x14ac:dyDescent="0.25">
      <c r="A315">
        <v>0</v>
      </c>
      <c r="B315" t="s">
        <v>244</v>
      </c>
      <c r="C315" s="18">
        <v>45658</v>
      </c>
      <c r="D315" t="str">
        <f>"8036"</f>
        <v>8036</v>
      </c>
      <c r="E315" s="18">
        <v>45288</v>
      </c>
      <c r="F315" t="s">
        <v>738</v>
      </c>
      <c r="G315" t="s">
        <v>247</v>
      </c>
      <c r="H315" t="s">
        <v>739</v>
      </c>
      <c r="L315" s="35">
        <v>165600</v>
      </c>
    </row>
    <row r="316" spans="1:12" hidden="1" x14ac:dyDescent="0.25">
      <c r="A316">
        <v>0</v>
      </c>
      <c r="B316" t="s">
        <v>244</v>
      </c>
      <c r="C316" s="18">
        <v>45658</v>
      </c>
      <c r="D316" t="str">
        <f>"8037"</f>
        <v>8037</v>
      </c>
      <c r="E316" s="18">
        <v>45285</v>
      </c>
      <c r="F316" t="s">
        <v>740</v>
      </c>
      <c r="G316" t="s">
        <v>247</v>
      </c>
      <c r="H316" t="s">
        <v>741</v>
      </c>
      <c r="L316" s="35">
        <v>176400</v>
      </c>
    </row>
    <row r="317" spans="1:12" hidden="1" x14ac:dyDescent="0.25">
      <c r="A317">
        <v>0</v>
      </c>
      <c r="B317" t="s">
        <v>244</v>
      </c>
      <c r="C317" s="18">
        <v>45658</v>
      </c>
      <c r="D317" t="str">
        <f>"8038"</f>
        <v>8038</v>
      </c>
      <c r="E317" s="18">
        <v>45285</v>
      </c>
      <c r="F317" t="s">
        <v>742</v>
      </c>
      <c r="G317" t="s">
        <v>247</v>
      </c>
      <c r="H317" t="s">
        <v>743</v>
      </c>
      <c r="L317" s="35">
        <v>1944000</v>
      </c>
    </row>
    <row r="318" spans="1:12" hidden="1" x14ac:dyDescent="0.25">
      <c r="A318">
        <v>0</v>
      </c>
      <c r="B318" t="s">
        <v>244</v>
      </c>
      <c r="C318" s="18">
        <v>45658</v>
      </c>
      <c r="D318" t="str">
        <f>"8039"</f>
        <v>8039</v>
      </c>
      <c r="E318" s="18">
        <v>45271</v>
      </c>
      <c r="F318" t="s">
        <v>744</v>
      </c>
      <c r="G318" t="s">
        <v>247</v>
      </c>
      <c r="H318" t="s">
        <v>745</v>
      </c>
      <c r="L318" s="35">
        <v>250800</v>
      </c>
    </row>
    <row r="319" spans="1:12" hidden="1" x14ac:dyDescent="0.25">
      <c r="A319">
        <v>0</v>
      </c>
      <c r="B319" t="s">
        <v>244</v>
      </c>
      <c r="C319" s="18">
        <v>45658</v>
      </c>
      <c r="D319" t="str">
        <f>"8040"</f>
        <v>8040</v>
      </c>
      <c r="E319" s="18">
        <v>44953</v>
      </c>
      <c r="F319" t="s">
        <v>746</v>
      </c>
      <c r="G319" t="s">
        <v>247</v>
      </c>
      <c r="H319" t="s">
        <v>747</v>
      </c>
      <c r="L319" s="35">
        <v>189720</v>
      </c>
    </row>
    <row r="320" spans="1:12" hidden="1" x14ac:dyDescent="0.25">
      <c r="A320">
        <v>0</v>
      </c>
      <c r="B320" t="s">
        <v>244</v>
      </c>
      <c r="C320" s="18">
        <v>45658</v>
      </c>
      <c r="D320" t="str">
        <f>"8041"</f>
        <v>8041</v>
      </c>
      <c r="E320" s="18">
        <v>45292</v>
      </c>
      <c r="F320" t="str">
        <f>"165724"</f>
        <v>165724</v>
      </c>
      <c r="G320" t="s">
        <v>247</v>
      </c>
      <c r="H320" t="s">
        <v>748</v>
      </c>
      <c r="L320" s="35">
        <v>45920</v>
      </c>
    </row>
    <row r="321" spans="1:13" hidden="1" x14ac:dyDescent="0.25">
      <c r="A321">
        <v>0</v>
      </c>
      <c r="B321" t="s">
        <v>244</v>
      </c>
      <c r="C321" s="18">
        <v>45658</v>
      </c>
      <c r="D321" t="str">
        <f>"8042"</f>
        <v>8042</v>
      </c>
      <c r="E321" s="18">
        <v>45292</v>
      </c>
      <c r="F321" t="s">
        <v>749</v>
      </c>
      <c r="G321" t="s">
        <v>247</v>
      </c>
      <c r="H321" t="s">
        <v>750</v>
      </c>
      <c r="L321" s="35">
        <v>29680</v>
      </c>
    </row>
    <row r="322" spans="1:13" hidden="1" x14ac:dyDescent="0.25">
      <c r="A322">
        <v>0</v>
      </c>
      <c r="B322" t="s">
        <v>244</v>
      </c>
      <c r="C322" s="18">
        <v>45658</v>
      </c>
      <c r="D322" t="str">
        <f>"8043"</f>
        <v>8043</v>
      </c>
      <c r="E322" s="18">
        <v>45292</v>
      </c>
      <c r="F322" t="s">
        <v>751</v>
      </c>
      <c r="G322" t="s">
        <v>247</v>
      </c>
      <c r="H322" t="s">
        <v>752</v>
      </c>
      <c r="L322" s="35">
        <v>8000</v>
      </c>
    </row>
    <row r="323" spans="1:13" hidden="1" x14ac:dyDescent="0.25">
      <c r="A323">
        <v>0</v>
      </c>
      <c r="B323" t="s">
        <v>244</v>
      </c>
      <c r="C323" s="18">
        <v>45658</v>
      </c>
      <c r="D323" t="str">
        <f>"8044"</f>
        <v>8044</v>
      </c>
      <c r="E323" s="18">
        <v>44957</v>
      </c>
      <c r="G323" t="s">
        <v>247</v>
      </c>
      <c r="H323" t="s">
        <v>753</v>
      </c>
      <c r="M323" s="35">
        <v>53381120</v>
      </c>
    </row>
    <row r="324" spans="1:13" hidden="1" x14ac:dyDescent="0.25">
      <c r="A324">
        <v>0</v>
      </c>
      <c r="B324" t="s">
        <v>244</v>
      </c>
      <c r="C324" s="18">
        <v>45658</v>
      </c>
      <c r="D324" t="str">
        <f>"8045"</f>
        <v>8045</v>
      </c>
      <c r="E324" s="18">
        <v>44965</v>
      </c>
      <c r="G324" t="s">
        <v>247</v>
      </c>
      <c r="H324" t="s">
        <v>754</v>
      </c>
      <c r="L324" s="35">
        <v>16951423.920000002</v>
      </c>
    </row>
    <row r="325" spans="1:13" hidden="1" x14ac:dyDescent="0.25">
      <c r="A325">
        <v>0</v>
      </c>
      <c r="B325" t="s">
        <v>244</v>
      </c>
      <c r="C325" s="18">
        <v>45658</v>
      </c>
      <c r="D325" t="str">
        <f>"8046"</f>
        <v>8046</v>
      </c>
      <c r="E325" s="18">
        <v>44956</v>
      </c>
      <c r="F325" t="str">
        <f>"11107"</f>
        <v>11107</v>
      </c>
      <c r="G325" t="s">
        <v>247</v>
      </c>
      <c r="H325" t="s">
        <v>755</v>
      </c>
      <c r="L325" s="35">
        <v>235756</v>
      </c>
    </row>
    <row r="326" spans="1:13" hidden="1" x14ac:dyDescent="0.25">
      <c r="A326">
        <v>0</v>
      </c>
      <c r="B326" t="s">
        <v>244</v>
      </c>
      <c r="C326" s="18">
        <v>45658</v>
      </c>
      <c r="D326" t="str">
        <f>"8047"</f>
        <v>8047</v>
      </c>
      <c r="E326" s="18">
        <v>44956</v>
      </c>
      <c r="F326" t="s">
        <v>756</v>
      </c>
      <c r="G326" t="s">
        <v>247</v>
      </c>
      <c r="H326" t="s">
        <v>757</v>
      </c>
      <c r="L326" s="35">
        <v>104640</v>
      </c>
    </row>
    <row r="327" spans="1:13" hidden="1" x14ac:dyDescent="0.25">
      <c r="A327">
        <v>0</v>
      </c>
      <c r="B327" t="s">
        <v>244</v>
      </c>
      <c r="C327" s="18">
        <v>45658</v>
      </c>
      <c r="D327" t="str">
        <f>"8048"</f>
        <v>8048</v>
      </c>
      <c r="E327" s="18">
        <v>44956</v>
      </c>
      <c r="F327" t="s">
        <v>758</v>
      </c>
      <c r="G327" t="s">
        <v>247</v>
      </c>
      <c r="H327" t="s">
        <v>759</v>
      </c>
      <c r="L327" s="35">
        <v>71920</v>
      </c>
    </row>
    <row r="328" spans="1:13" hidden="1" x14ac:dyDescent="0.25">
      <c r="A328">
        <v>0</v>
      </c>
      <c r="B328" t="s">
        <v>244</v>
      </c>
      <c r="C328" s="18">
        <v>45658</v>
      </c>
      <c r="D328" t="str">
        <f>"8049"</f>
        <v>8049</v>
      </c>
      <c r="E328" s="18">
        <v>44956</v>
      </c>
      <c r="F328" t="s">
        <v>760</v>
      </c>
      <c r="G328" t="s">
        <v>247</v>
      </c>
      <c r="H328" t="s">
        <v>761</v>
      </c>
      <c r="L328" s="35">
        <v>152320</v>
      </c>
    </row>
    <row r="329" spans="1:13" hidden="1" x14ac:dyDescent="0.25">
      <c r="A329">
        <v>0</v>
      </c>
      <c r="B329" t="s">
        <v>244</v>
      </c>
      <c r="C329" s="18">
        <v>45658</v>
      </c>
      <c r="D329" t="str">
        <f>"8050"</f>
        <v>8050</v>
      </c>
      <c r="E329" s="18">
        <v>44957</v>
      </c>
      <c r="F329" t="str">
        <f>"230018"</f>
        <v>230018</v>
      </c>
      <c r="G329" t="s">
        <v>247</v>
      </c>
      <c r="H329" t="s">
        <v>762</v>
      </c>
      <c r="L329" s="35">
        <v>14960</v>
      </c>
    </row>
    <row r="330" spans="1:13" hidden="1" x14ac:dyDescent="0.25">
      <c r="A330">
        <v>0</v>
      </c>
      <c r="B330" t="s">
        <v>244</v>
      </c>
      <c r="C330" s="18">
        <v>45658</v>
      </c>
      <c r="D330" t="str">
        <f>"8051"</f>
        <v>8051</v>
      </c>
      <c r="E330" s="18">
        <v>44974</v>
      </c>
      <c r="F330" t="s">
        <v>763</v>
      </c>
      <c r="G330" t="s">
        <v>247</v>
      </c>
      <c r="H330" t="s">
        <v>764</v>
      </c>
      <c r="L330" s="35">
        <v>386640</v>
      </c>
    </row>
    <row r="331" spans="1:13" hidden="1" x14ac:dyDescent="0.25">
      <c r="A331">
        <v>0</v>
      </c>
      <c r="B331" t="s">
        <v>244</v>
      </c>
      <c r="C331" s="18">
        <v>45658</v>
      </c>
      <c r="D331" t="str">
        <f>"8052"</f>
        <v>8052</v>
      </c>
      <c r="E331" s="18">
        <v>45285</v>
      </c>
      <c r="F331" t="s">
        <v>765</v>
      </c>
      <c r="G331" t="s">
        <v>247</v>
      </c>
      <c r="H331" t="s">
        <v>766</v>
      </c>
      <c r="L331" s="35">
        <v>153600</v>
      </c>
    </row>
    <row r="332" spans="1:13" hidden="1" x14ac:dyDescent="0.25">
      <c r="A332">
        <v>0</v>
      </c>
      <c r="B332" t="s">
        <v>244</v>
      </c>
      <c r="C332" s="18">
        <v>45658</v>
      </c>
      <c r="D332" t="str">
        <f>"8053"</f>
        <v>8053</v>
      </c>
      <c r="E332" s="18">
        <v>45285</v>
      </c>
      <c r="F332" t="s">
        <v>767</v>
      </c>
      <c r="G332" t="s">
        <v>247</v>
      </c>
      <c r="H332" t="s">
        <v>768</v>
      </c>
      <c r="L332" s="35">
        <v>97440</v>
      </c>
    </row>
    <row r="333" spans="1:13" hidden="1" x14ac:dyDescent="0.25">
      <c r="A333">
        <v>0</v>
      </c>
      <c r="B333" t="s">
        <v>244</v>
      </c>
      <c r="C333" s="18">
        <v>45658</v>
      </c>
      <c r="D333" t="str">
        <f>"8054"</f>
        <v>8054</v>
      </c>
      <c r="E333" s="18">
        <v>44956</v>
      </c>
      <c r="F333" t="s">
        <v>769</v>
      </c>
      <c r="G333" t="s">
        <v>247</v>
      </c>
      <c r="H333" t="s">
        <v>770</v>
      </c>
      <c r="L333" s="35">
        <v>372000</v>
      </c>
    </row>
    <row r="334" spans="1:13" hidden="1" x14ac:dyDescent="0.25">
      <c r="A334">
        <v>0</v>
      </c>
      <c r="B334" t="s">
        <v>244</v>
      </c>
      <c r="C334" s="18">
        <v>45658</v>
      </c>
      <c r="D334" t="str">
        <f>"8055"</f>
        <v>8055</v>
      </c>
      <c r="E334" s="18">
        <v>44956</v>
      </c>
      <c r="F334" t="str">
        <f>"23953"</f>
        <v>23953</v>
      </c>
      <c r="G334" t="s">
        <v>247</v>
      </c>
      <c r="H334" t="s">
        <v>771</v>
      </c>
      <c r="L334" s="35">
        <v>600000</v>
      </c>
    </row>
    <row r="335" spans="1:13" hidden="1" x14ac:dyDescent="0.25">
      <c r="A335">
        <v>0</v>
      </c>
      <c r="B335" t="s">
        <v>244</v>
      </c>
      <c r="C335" s="18">
        <v>45658</v>
      </c>
      <c r="D335" t="str">
        <f>"8056"</f>
        <v>8056</v>
      </c>
      <c r="E335" s="18">
        <v>44956</v>
      </c>
      <c r="F335" t="str">
        <f>"223"</f>
        <v>223</v>
      </c>
      <c r="G335" t="s">
        <v>247</v>
      </c>
      <c r="H335" t="s">
        <v>772</v>
      </c>
      <c r="L335" s="35">
        <v>200000</v>
      </c>
    </row>
    <row r="336" spans="1:13" hidden="1" x14ac:dyDescent="0.25">
      <c r="A336">
        <v>0</v>
      </c>
      <c r="B336" t="s">
        <v>244</v>
      </c>
      <c r="C336" s="18">
        <v>45658</v>
      </c>
      <c r="D336" t="str">
        <f>"8057"</f>
        <v>8057</v>
      </c>
      <c r="E336" s="18">
        <v>44956</v>
      </c>
      <c r="F336" t="s">
        <v>773</v>
      </c>
      <c r="G336" t="s">
        <v>247</v>
      </c>
      <c r="H336" t="s">
        <v>774</v>
      </c>
      <c r="L336" s="35">
        <v>400000</v>
      </c>
    </row>
    <row r="337" spans="1:12" hidden="1" x14ac:dyDescent="0.25">
      <c r="A337">
        <v>0</v>
      </c>
      <c r="B337" t="s">
        <v>244</v>
      </c>
      <c r="C337" s="18">
        <v>45658</v>
      </c>
      <c r="D337" t="str">
        <f>"8058"</f>
        <v>8058</v>
      </c>
      <c r="E337" s="18">
        <v>44981</v>
      </c>
      <c r="F337" t="s">
        <v>775</v>
      </c>
      <c r="G337" t="s">
        <v>247</v>
      </c>
      <c r="H337" t="s">
        <v>776</v>
      </c>
      <c r="L337" s="35">
        <v>619600</v>
      </c>
    </row>
    <row r="338" spans="1:12" hidden="1" x14ac:dyDescent="0.25">
      <c r="A338">
        <v>0</v>
      </c>
      <c r="B338" t="s">
        <v>244</v>
      </c>
      <c r="C338" s="18">
        <v>45658</v>
      </c>
      <c r="D338" t="str">
        <f>"8059"</f>
        <v>8059</v>
      </c>
      <c r="E338" s="18">
        <v>44988</v>
      </c>
      <c r="F338" t="str">
        <f>"0"</f>
        <v>0</v>
      </c>
      <c r="G338" t="s">
        <v>247</v>
      </c>
      <c r="H338" t="s">
        <v>777</v>
      </c>
      <c r="L338" s="35">
        <v>220000</v>
      </c>
    </row>
    <row r="339" spans="1:12" hidden="1" x14ac:dyDescent="0.25">
      <c r="A339">
        <v>0</v>
      </c>
      <c r="B339" t="s">
        <v>244</v>
      </c>
      <c r="C339" s="18">
        <v>45658</v>
      </c>
      <c r="D339" t="str">
        <f>"8060"</f>
        <v>8060</v>
      </c>
      <c r="E339" s="18">
        <v>44988</v>
      </c>
      <c r="F339" t="s">
        <v>778</v>
      </c>
      <c r="G339" t="s">
        <v>247</v>
      </c>
      <c r="H339" t="s">
        <v>779</v>
      </c>
      <c r="L339" s="35">
        <v>776560</v>
      </c>
    </row>
    <row r="340" spans="1:12" hidden="1" x14ac:dyDescent="0.25">
      <c r="A340">
        <v>0</v>
      </c>
      <c r="B340" t="s">
        <v>244</v>
      </c>
      <c r="C340" s="18">
        <v>45658</v>
      </c>
      <c r="D340" t="str">
        <f>"8061"</f>
        <v>8061</v>
      </c>
      <c r="E340" s="18">
        <v>44957</v>
      </c>
      <c r="F340" t="s">
        <v>780</v>
      </c>
      <c r="G340" t="s">
        <v>247</v>
      </c>
      <c r="H340" t="s">
        <v>781</v>
      </c>
      <c r="L340" s="35">
        <v>211200</v>
      </c>
    </row>
    <row r="341" spans="1:12" hidden="1" x14ac:dyDescent="0.25">
      <c r="A341">
        <v>0</v>
      </c>
      <c r="B341" t="s">
        <v>244</v>
      </c>
      <c r="C341" s="18">
        <v>45658</v>
      </c>
      <c r="D341" t="str">
        <f>"8062"</f>
        <v>8062</v>
      </c>
      <c r="E341" s="18">
        <v>44957</v>
      </c>
      <c r="F341" t="s">
        <v>782</v>
      </c>
      <c r="G341" t="s">
        <v>247</v>
      </c>
      <c r="H341" t="s">
        <v>783</v>
      </c>
      <c r="L341" s="35">
        <v>28000</v>
      </c>
    </row>
    <row r="342" spans="1:12" hidden="1" x14ac:dyDescent="0.25">
      <c r="A342">
        <v>0</v>
      </c>
      <c r="B342" t="s">
        <v>244</v>
      </c>
      <c r="C342" s="18">
        <v>45658</v>
      </c>
      <c r="D342" t="str">
        <f>"8063"</f>
        <v>8063</v>
      </c>
      <c r="E342" s="18">
        <v>44957</v>
      </c>
      <c r="F342" t="str">
        <f>"202302013"</f>
        <v>202302013</v>
      </c>
      <c r="G342" t="s">
        <v>247</v>
      </c>
      <c r="H342" t="s">
        <v>784</v>
      </c>
      <c r="L342" s="35">
        <v>24000</v>
      </c>
    </row>
    <row r="343" spans="1:12" hidden="1" x14ac:dyDescent="0.25">
      <c r="A343">
        <v>0</v>
      </c>
      <c r="B343" t="s">
        <v>244</v>
      </c>
      <c r="C343" s="18">
        <v>45658</v>
      </c>
      <c r="D343" t="str">
        <f>"8064"</f>
        <v>8064</v>
      </c>
      <c r="E343" s="18">
        <v>44957</v>
      </c>
      <c r="F343" t="s">
        <v>785</v>
      </c>
      <c r="G343" t="s">
        <v>247</v>
      </c>
      <c r="H343" t="s">
        <v>786</v>
      </c>
      <c r="L343" s="35">
        <v>96000</v>
      </c>
    </row>
    <row r="344" spans="1:12" hidden="1" x14ac:dyDescent="0.25">
      <c r="A344">
        <v>0</v>
      </c>
      <c r="B344" t="s">
        <v>244</v>
      </c>
      <c r="C344" s="18">
        <v>45658</v>
      </c>
      <c r="D344" t="str">
        <f>"8065"</f>
        <v>8065</v>
      </c>
      <c r="E344" s="18">
        <v>44957</v>
      </c>
      <c r="F344" t="str">
        <f>"504708"</f>
        <v>504708</v>
      </c>
      <c r="G344" t="s">
        <v>247</v>
      </c>
      <c r="H344" t="s">
        <v>787</v>
      </c>
      <c r="L344" s="35">
        <v>191880</v>
      </c>
    </row>
    <row r="345" spans="1:12" hidden="1" x14ac:dyDescent="0.25">
      <c r="A345">
        <v>0</v>
      </c>
      <c r="B345" t="s">
        <v>244</v>
      </c>
      <c r="C345" s="18">
        <v>45658</v>
      </c>
      <c r="D345" t="str">
        <f>"8066"</f>
        <v>8066</v>
      </c>
      <c r="E345" s="18">
        <v>44957</v>
      </c>
      <c r="F345" t="str">
        <f>"09"</f>
        <v>09</v>
      </c>
      <c r="G345" t="s">
        <v>247</v>
      </c>
      <c r="H345" t="s">
        <v>788</v>
      </c>
      <c r="L345" s="35">
        <v>24000</v>
      </c>
    </row>
    <row r="346" spans="1:12" hidden="1" x14ac:dyDescent="0.25">
      <c r="A346">
        <v>0</v>
      </c>
      <c r="B346" t="s">
        <v>244</v>
      </c>
      <c r="C346" s="18">
        <v>45658</v>
      </c>
      <c r="D346" t="str">
        <f>"8067"</f>
        <v>8067</v>
      </c>
      <c r="E346" s="18">
        <v>44957</v>
      </c>
      <c r="F346" t="s">
        <v>789</v>
      </c>
      <c r="G346" t="s">
        <v>247</v>
      </c>
      <c r="H346" t="s">
        <v>790</v>
      </c>
      <c r="L346" s="35">
        <v>250000</v>
      </c>
    </row>
    <row r="347" spans="1:12" hidden="1" x14ac:dyDescent="0.25">
      <c r="A347">
        <v>0</v>
      </c>
      <c r="B347" t="s">
        <v>244</v>
      </c>
      <c r="C347" s="18">
        <v>45658</v>
      </c>
      <c r="D347" t="str">
        <f>"8068"</f>
        <v>8068</v>
      </c>
      <c r="E347" s="18">
        <v>44957</v>
      </c>
      <c r="F347" t="str">
        <f>"26259"</f>
        <v>26259</v>
      </c>
      <c r="G347" t="s">
        <v>247</v>
      </c>
      <c r="H347" t="s">
        <v>791</v>
      </c>
      <c r="L347" s="35">
        <v>108800</v>
      </c>
    </row>
    <row r="348" spans="1:12" hidden="1" x14ac:dyDescent="0.25">
      <c r="A348">
        <v>0</v>
      </c>
      <c r="B348" t="s">
        <v>244</v>
      </c>
      <c r="C348" s="18">
        <v>45658</v>
      </c>
      <c r="D348" t="str">
        <f>"8069"</f>
        <v>8069</v>
      </c>
      <c r="E348" s="18">
        <v>44957</v>
      </c>
      <c r="F348" t="str">
        <f>"0344"</f>
        <v>0344</v>
      </c>
      <c r="G348" t="s">
        <v>247</v>
      </c>
      <c r="H348" t="s">
        <v>792</v>
      </c>
      <c r="L348" s="35">
        <v>400000</v>
      </c>
    </row>
    <row r="349" spans="1:12" hidden="1" x14ac:dyDescent="0.25">
      <c r="A349">
        <v>0</v>
      </c>
      <c r="B349" t="s">
        <v>244</v>
      </c>
      <c r="C349" s="18">
        <v>45658</v>
      </c>
      <c r="D349" t="str">
        <f>"8070"</f>
        <v>8070</v>
      </c>
      <c r="E349" s="18">
        <v>44957</v>
      </c>
      <c r="F349" t="str">
        <f>"335210"</f>
        <v>335210</v>
      </c>
      <c r="G349" t="s">
        <v>247</v>
      </c>
      <c r="H349" t="s">
        <v>793</v>
      </c>
      <c r="L349" s="35">
        <v>65600</v>
      </c>
    </row>
    <row r="350" spans="1:12" hidden="1" x14ac:dyDescent="0.25">
      <c r="A350">
        <v>0</v>
      </c>
      <c r="B350" t="s">
        <v>244</v>
      </c>
      <c r="C350" s="18">
        <v>45658</v>
      </c>
      <c r="D350" t="str">
        <f>"8071"</f>
        <v>8071</v>
      </c>
      <c r="E350" s="18">
        <v>44957</v>
      </c>
      <c r="F350" t="s">
        <v>794</v>
      </c>
      <c r="G350" t="s">
        <v>247</v>
      </c>
      <c r="H350" t="s">
        <v>795</v>
      </c>
      <c r="L350" s="35">
        <v>1600000</v>
      </c>
    </row>
    <row r="351" spans="1:12" hidden="1" x14ac:dyDescent="0.25">
      <c r="A351">
        <v>0</v>
      </c>
      <c r="B351" t="s">
        <v>244</v>
      </c>
      <c r="C351" s="18">
        <v>45658</v>
      </c>
      <c r="D351" t="str">
        <f>"8072"</f>
        <v>8072</v>
      </c>
      <c r="E351" s="18">
        <v>44957</v>
      </c>
      <c r="F351" t="s">
        <v>796</v>
      </c>
      <c r="G351" t="s">
        <v>247</v>
      </c>
      <c r="H351" t="s">
        <v>797</v>
      </c>
      <c r="L351" s="35">
        <v>197600</v>
      </c>
    </row>
    <row r="352" spans="1:12" hidden="1" x14ac:dyDescent="0.25">
      <c r="A352">
        <v>0</v>
      </c>
      <c r="B352" t="s">
        <v>244</v>
      </c>
      <c r="C352" s="18">
        <v>45658</v>
      </c>
      <c r="D352" t="str">
        <f>"8073"</f>
        <v>8073</v>
      </c>
      <c r="E352" s="18">
        <v>44957</v>
      </c>
      <c r="F352" t="s">
        <v>798</v>
      </c>
      <c r="G352" t="s">
        <v>247</v>
      </c>
      <c r="H352" t="s">
        <v>799</v>
      </c>
      <c r="L352" s="35">
        <v>199920</v>
      </c>
    </row>
    <row r="353" spans="1:12" hidden="1" x14ac:dyDescent="0.25">
      <c r="A353">
        <v>0</v>
      </c>
      <c r="B353" t="s">
        <v>244</v>
      </c>
      <c r="C353" s="18">
        <v>45658</v>
      </c>
      <c r="D353" t="str">
        <f>"8074"</f>
        <v>8074</v>
      </c>
      <c r="E353" s="18">
        <v>44957</v>
      </c>
      <c r="F353" t="s">
        <v>800</v>
      </c>
      <c r="G353" t="s">
        <v>247</v>
      </c>
      <c r="H353" t="s">
        <v>801</v>
      </c>
      <c r="L353" s="35">
        <v>71440</v>
      </c>
    </row>
    <row r="354" spans="1:12" hidden="1" x14ac:dyDescent="0.25">
      <c r="A354">
        <v>0</v>
      </c>
      <c r="B354" t="s">
        <v>244</v>
      </c>
      <c r="C354" s="18">
        <v>45658</v>
      </c>
      <c r="D354" t="str">
        <f>"8075"</f>
        <v>8075</v>
      </c>
      <c r="E354" s="18">
        <v>44957</v>
      </c>
      <c r="F354" t="s">
        <v>802</v>
      </c>
      <c r="G354" t="s">
        <v>247</v>
      </c>
      <c r="H354" t="s">
        <v>803</v>
      </c>
      <c r="L354" s="35">
        <v>23040</v>
      </c>
    </row>
    <row r="355" spans="1:12" hidden="1" x14ac:dyDescent="0.25">
      <c r="A355">
        <v>0</v>
      </c>
      <c r="B355" t="s">
        <v>244</v>
      </c>
      <c r="C355" s="18">
        <v>45658</v>
      </c>
      <c r="D355" t="str">
        <f>"8076"</f>
        <v>8076</v>
      </c>
      <c r="E355" s="18">
        <v>44957</v>
      </c>
      <c r="F355" s="18">
        <v>44937</v>
      </c>
      <c r="G355" t="s">
        <v>247</v>
      </c>
      <c r="H355" t="s">
        <v>804</v>
      </c>
      <c r="L355" s="35">
        <v>110000</v>
      </c>
    </row>
    <row r="356" spans="1:12" hidden="1" x14ac:dyDescent="0.25">
      <c r="A356">
        <v>0</v>
      </c>
      <c r="B356" t="s">
        <v>244</v>
      </c>
      <c r="C356" s="18">
        <v>45658</v>
      </c>
      <c r="D356" t="str">
        <f>"8077"</f>
        <v>8077</v>
      </c>
      <c r="E356" s="18">
        <v>44957</v>
      </c>
      <c r="F356" t="s">
        <v>805</v>
      </c>
      <c r="G356" t="s">
        <v>247</v>
      </c>
      <c r="H356" t="s">
        <v>806</v>
      </c>
      <c r="L356" s="35">
        <v>498960</v>
      </c>
    </row>
    <row r="357" spans="1:12" hidden="1" x14ac:dyDescent="0.25">
      <c r="A357">
        <v>0</v>
      </c>
      <c r="B357" t="s">
        <v>244</v>
      </c>
      <c r="C357" s="18">
        <v>45658</v>
      </c>
      <c r="D357" t="str">
        <f>"8078"</f>
        <v>8078</v>
      </c>
      <c r="E357" s="18">
        <v>44957</v>
      </c>
      <c r="F357" t="str">
        <f>"230008"</f>
        <v>230008</v>
      </c>
      <c r="G357" t="s">
        <v>247</v>
      </c>
      <c r="H357" t="s">
        <v>807</v>
      </c>
      <c r="L357" s="35">
        <v>110000</v>
      </c>
    </row>
    <row r="358" spans="1:12" hidden="1" x14ac:dyDescent="0.25">
      <c r="A358">
        <v>0</v>
      </c>
      <c r="B358" t="s">
        <v>244</v>
      </c>
      <c r="C358" s="18">
        <v>45658</v>
      </c>
      <c r="D358" t="str">
        <f>"8079"</f>
        <v>8079</v>
      </c>
      <c r="E358" s="18">
        <v>44957</v>
      </c>
      <c r="F358" t="s">
        <v>808</v>
      </c>
      <c r="G358" t="s">
        <v>247</v>
      </c>
      <c r="H358" t="s">
        <v>809</v>
      </c>
      <c r="L358" s="35">
        <v>59200</v>
      </c>
    </row>
    <row r="359" spans="1:12" hidden="1" x14ac:dyDescent="0.25">
      <c r="A359">
        <v>0</v>
      </c>
      <c r="B359" t="s">
        <v>244</v>
      </c>
      <c r="C359" s="18">
        <v>45658</v>
      </c>
      <c r="D359" t="str">
        <f>"8080"</f>
        <v>8080</v>
      </c>
      <c r="E359" s="18">
        <v>44957</v>
      </c>
      <c r="F359" t="s">
        <v>810</v>
      </c>
      <c r="G359" t="s">
        <v>247</v>
      </c>
      <c r="H359" t="s">
        <v>811</v>
      </c>
      <c r="L359" s="35">
        <v>331200</v>
      </c>
    </row>
    <row r="360" spans="1:12" hidden="1" x14ac:dyDescent="0.25">
      <c r="A360">
        <v>0</v>
      </c>
      <c r="B360" t="s">
        <v>244</v>
      </c>
      <c r="C360" s="18">
        <v>45658</v>
      </c>
      <c r="D360" t="str">
        <f>"8081"</f>
        <v>8081</v>
      </c>
      <c r="E360" s="18">
        <v>44957</v>
      </c>
      <c r="F360" t="s">
        <v>812</v>
      </c>
      <c r="G360" t="s">
        <v>247</v>
      </c>
      <c r="H360" t="s">
        <v>813</v>
      </c>
      <c r="L360" s="35">
        <v>293520</v>
      </c>
    </row>
    <row r="361" spans="1:12" hidden="1" x14ac:dyDescent="0.25">
      <c r="A361">
        <v>0</v>
      </c>
      <c r="B361" t="s">
        <v>244</v>
      </c>
      <c r="C361" s="18">
        <v>45658</v>
      </c>
      <c r="D361" t="str">
        <f>"8082"</f>
        <v>8082</v>
      </c>
      <c r="E361" s="18">
        <v>44957</v>
      </c>
      <c r="F361" t="s">
        <v>814</v>
      </c>
      <c r="G361" t="s">
        <v>247</v>
      </c>
      <c r="H361" t="s">
        <v>815</v>
      </c>
      <c r="L361" s="35">
        <v>32000</v>
      </c>
    </row>
    <row r="362" spans="1:12" hidden="1" x14ac:dyDescent="0.25">
      <c r="A362">
        <v>0</v>
      </c>
      <c r="B362" t="s">
        <v>244</v>
      </c>
      <c r="C362" s="18">
        <v>45658</v>
      </c>
      <c r="D362" t="str">
        <f>"8083"</f>
        <v>8083</v>
      </c>
      <c r="E362" s="18">
        <v>45009</v>
      </c>
      <c r="F362" t="str">
        <f>"11583"</f>
        <v>11583</v>
      </c>
      <c r="G362" t="s">
        <v>247</v>
      </c>
      <c r="H362" t="s">
        <v>816</v>
      </c>
      <c r="L362" s="35">
        <v>96000</v>
      </c>
    </row>
    <row r="363" spans="1:12" hidden="1" x14ac:dyDescent="0.25">
      <c r="A363">
        <v>0</v>
      </c>
      <c r="B363" t="s">
        <v>250</v>
      </c>
      <c r="C363" s="18">
        <v>45863</v>
      </c>
      <c r="D363" t="str">
        <f>"8083"</f>
        <v>8083</v>
      </c>
      <c r="E363" s="18">
        <v>45863</v>
      </c>
      <c r="F363" t="str">
        <f>"24955"</f>
        <v>24955</v>
      </c>
      <c r="G363" t="s">
        <v>247</v>
      </c>
      <c r="H363" t="s">
        <v>817</v>
      </c>
      <c r="L363" s="35">
        <v>39240</v>
      </c>
    </row>
    <row r="364" spans="1:12" hidden="1" x14ac:dyDescent="0.25">
      <c r="A364">
        <v>0</v>
      </c>
      <c r="B364" t="s">
        <v>244</v>
      </c>
      <c r="C364" s="18">
        <v>45658</v>
      </c>
      <c r="D364" t="str">
        <f>"8084"</f>
        <v>8084</v>
      </c>
      <c r="E364" s="18">
        <v>45009</v>
      </c>
      <c r="F364" t="str">
        <f>"11584"</f>
        <v>11584</v>
      </c>
      <c r="G364" t="s">
        <v>247</v>
      </c>
      <c r="H364" t="s">
        <v>818</v>
      </c>
      <c r="L364" s="35">
        <v>110000</v>
      </c>
    </row>
    <row r="365" spans="1:12" hidden="1" x14ac:dyDescent="0.25">
      <c r="A365">
        <v>0</v>
      </c>
      <c r="B365" t="s">
        <v>244</v>
      </c>
      <c r="C365" s="18">
        <v>45658</v>
      </c>
      <c r="D365" t="str">
        <f>"8085"</f>
        <v>8085</v>
      </c>
      <c r="E365" s="18">
        <v>44995</v>
      </c>
      <c r="F365" t="s">
        <v>819</v>
      </c>
      <c r="G365" t="s">
        <v>247</v>
      </c>
      <c r="H365" t="s">
        <v>820</v>
      </c>
      <c r="L365" s="35">
        <v>26000</v>
      </c>
    </row>
    <row r="366" spans="1:12" hidden="1" x14ac:dyDescent="0.25">
      <c r="A366">
        <v>0</v>
      </c>
      <c r="B366" t="s">
        <v>244</v>
      </c>
      <c r="C366" s="18">
        <v>45658</v>
      </c>
      <c r="D366" t="str">
        <f>"8086"</f>
        <v>8086</v>
      </c>
      <c r="E366" s="18">
        <v>44995</v>
      </c>
      <c r="F366" t="str">
        <f>"238281"</f>
        <v>238281</v>
      </c>
      <c r="G366" t="s">
        <v>247</v>
      </c>
      <c r="H366" t="s">
        <v>821</v>
      </c>
      <c r="L366" s="35">
        <v>13760</v>
      </c>
    </row>
    <row r="367" spans="1:12" hidden="1" x14ac:dyDescent="0.25">
      <c r="A367">
        <v>0</v>
      </c>
      <c r="B367" t="s">
        <v>244</v>
      </c>
      <c r="C367" s="18">
        <v>45658</v>
      </c>
      <c r="D367" t="str">
        <f>"8087"</f>
        <v>8087</v>
      </c>
      <c r="E367" s="18">
        <v>44995</v>
      </c>
      <c r="F367" t="s">
        <v>822</v>
      </c>
      <c r="G367" t="s">
        <v>247</v>
      </c>
      <c r="H367" t="s">
        <v>823</v>
      </c>
      <c r="L367" s="35">
        <v>144240</v>
      </c>
    </row>
    <row r="368" spans="1:12" hidden="1" x14ac:dyDescent="0.25">
      <c r="A368">
        <v>0</v>
      </c>
      <c r="B368" t="s">
        <v>244</v>
      </c>
      <c r="C368" s="18">
        <v>45658</v>
      </c>
      <c r="D368" t="str">
        <f>"8088"</f>
        <v>8088</v>
      </c>
      <c r="E368" s="18">
        <v>44995</v>
      </c>
      <c r="F368" t="s">
        <v>824</v>
      </c>
      <c r="G368" t="s">
        <v>247</v>
      </c>
      <c r="H368" t="s">
        <v>825</v>
      </c>
      <c r="L368" s="35">
        <v>85600</v>
      </c>
    </row>
    <row r="369" spans="1:12" hidden="1" x14ac:dyDescent="0.25">
      <c r="A369">
        <v>0</v>
      </c>
      <c r="B369" t="s">
        <v>244</v>
      </c>
      <c r="C369" s="18">
        <v>45658</v>
      </c>
      <c r="D369" t="str">
        <f>"8089"</f>
        <v>8089</v>
      </c>
      <c r="E369" s="18">
        <v>45010</v>
      </c>
      <c r="F369" t="s">
        <v>826</v>
      </c>
      <c r="G369" t="s">
        <v>247</v>
      </c>
      <c r="H369" t="s">
        <v>827</v>
      </c>
      <c r="L369" s="35">
        <v>37920</v>
      </c>
    </row>
    <row r="370" spans="1:12" hidden="1" x14ac:dyDescent="0.25">
      <c r="A370">
        <v>0</v>
      </c>
      <c r="B370" t="s">
        <v>244</v>
      </c>
      <c r="C370" s="18">
        <v>45658</v>
      </c>
      <c r="D370" t="str">
        <f t="shared" ref="D370:D379" si="8">"8090"</f>
        <v>8090</v>
      </c>
      <c r="E370" s="18">
        <v>44985</v>
      </c>
      <c r="F370" t="s">
        <v>828</v>
      </c>
      <c r="G370" t="s">
        <v>247</v>
      </c>
      <c r="H370" t="s">
        <v>829</v>
      </c>
      <c r="L370" s="35">
        <v>250000</v>
      </c>
    </row>
    <row r="371" spans="1:12" hidden="1" x14ac:dyDescent="0.25">
      <c r="A371">
        <v>0</v>
      </c>
      <c r="B371" t="s">
        <v>250</v>
      </c>
      <c r="C371" s="18">
        <v>45869</v>
      </c>
      <c r="D371" t="str">
        <f t="shared" si="8"/>
        <v>8090</v>
      </c>
      <c r="E371" s="18">
        <v>45869</v>
      </c>
      <c r="F371" t="s">
        <v>830</v>
      </c>
      <c r="G371" t="s">
        <v>247</v>
      </c>
      <c r="H371" t="s">
        <v>831</v>
      </c>
      <c r="L371" s="35">
        <v>35440</v>
      </c>
    </row>
    <row r="372" spans="1:12" hidden="1" x14ac:dyDescent="0.25">
      <c r="A372">
        <v>0</v>
      </c>
      <c r="B372" t="s">
        <v>250</v>
      </c>
      <c r="C372" s="18">
        <v>45869</v>
      </c>
      <c r="D372" t="str">
        <f t="shared" si="8"/>
        <v>8090</v>
      </c>
      <c r="E372" s="18">
        <v>45869</v>
      </c>
      <c r="F372" t="s">
        <v>832</v>
      </c>
      <c r="G372" t="s">
        <v>247</v>
      </c>
      <c r="H372" t="s">
        <v>833</v>
      </c>
      <c r="L372" s="35">
        <v>143920</v>
      </c>
    </row>
    <row r="373" spans="1:12" hidden="1" x14ac:dyDescent="0.25">
      <c r="A373">
        <v>0</v>
      </c>
      <c r="B373" t="s">
        <v>250</v>
      </c>
      <c r="C373" s="18">
        <v>45869</v>
      </c>
      <c r="D373" t="str">
        <f t="shared" si="8"/>
        <v>8090</v>
      </c>
      <c r="E373" s="18">
        <v>45869</v>
      </c>
      <c r="F373" t="s">
        <v>834</v>
      </c>
      <c r="G373" t="s">
        <v>247</v>
      </c>
      <c r="H373" t="s">
        <v>835</v>
      </c>
      <c r="L373" s="35">
        <v>772400</v>
      </c>
    </row>
    <row r="374" spans="1:12" hidden="1" x14ac:dyDescent="0.25">
      <c r="A374">
        <v>0</v>
      </c>
      <c r="B374" t="s">
        <v>250</v>
      </c>
      <c r="C374" s="18">
        <v>45869</v>
      </c>
      <c r="D374" t="str">
        <f t="shared" si="8"/>
        <v>8090</v>
      </c>
      <c r="E374" s="18">
        <v>45869</v>
      </c>
      <c r="F374" t="str">
        <f>"005228"</f>
        <v>005228</v>
      </c>
      <c r="G374" t="s">
        <v>247</v>
      </c>
      <c r="H374" t="s">
        <v>836</v>
      </c>
      <c r="L374" s="35">
        <v>66880</v>
      </c>
    </row>
    <row r="375" spans="1:12" hidden="1" x14ac:dyDescent="0.25">
      <c r="A375">
        <v>0</v>
      </c>
      <c r="B375" t="s">
        <v>250</v>
      </c>
      <c r="C375" s="18">
        <v>45869</v>
      </c>
      <c r="D375" t="str">
        <f t="shared" si="8"/>
        <v>8090</v>
      </c>
      <c r="E375" s="18">
        <v>45869</v>
      </c>
      <c r="F375" t="s">
        <v>837</v>
      </c>
      <c r="G375" t="s">
        <v>247</v>
      </c>
      <c r="H375" t="s">
        <v>838</v>
      </c>
      <c r="L375" s="35">
        <v>30800</v>
      </c>
    </row>
    <row r="376" spans="1:12" hidden="1" x14ac:dyDescent="0.25">
      <c r="A376">
        <v>0</v>
      </c>
      <c r="B376" t="s">
        <v>250</v>
      </c>
      <c r="C376" s="18">
        <v>45869</v>
      </c>
      <c r="D376" t="str">
        <f t="shared" si="8"/>
        <v>8090</v>
      </c>
      <c r="E376" s="18">
        <v>45869</v>
      </c>
      <c r="F376" t="str">
        <f>"250641"</f>
        <v>250641</v>
      </c>
      <c r="G376" t="s">
        <v>247</v>
      </c>
      <c r="H376" t="s">
        <v>839</v>
      </c>
      <c r="L376" s="35">
        <v>41520</v>
      </c>
    </row>
    <row r="377" spans="1:12" hidden="1" x14ac:dyDescent="0.25">
      <c r="A377">
        <v>0</v>
      </c>
      <c r="B377" t="s">
        <v>250</v>
      </c>
      <c r="C377" s="18">
        <v>45869</v>
      </c>
      <c r="D377" t="str">
        <f t="shared" si="8"/>
        <v>8090</v>
      </c>
      <c r="E377" s="18">
        <v>45869</v>
      </c>
      <c r="F377" t="s">
        <v>840</v>
      </c>
      <c r="G377" t="s">
        <v>247</v>
      </c>
      <c r="H377" t="s">
        <v>841</v>
      </c>
      <c r="L377" s="35">
        <v>41760</v>
      </c>
    </row>
    <row r="378" spans="1:12" hidden="1" x14ac:dyDescent="0.25">
      <c r="A378">
        <v>0</v>
      </c>
      <c r="B378" t="s">
        <v>250</v>
      </c>
      <c r="C378" s="18">
        <v>45869</v>
      </c>
      <c r="D378" t="str">
        <f t="shared" si="8"/>
        <v>8090</v>
      </c>
      <c r="E378" s="18">
        <v>45869</v>
      </c>
      <c r="F378" t="s">
        <v>842</v>
      </c>
      <c r="G378" t="s">
        <v>247</v>
      </c>
      <c r="H378" t="s">
        <v>843</v>
      </c>
      <c r="L378" s="35">
        <v>34720</v>
      </c>
    </row>
    <row r="379" spans="1:12" hidden="1" x14ac:dyDescent="0.25">
      <c r="A379">
        <v>0</v>
      </c>
      <c r="B379" t="s">
        <v>250</v>
      </c>
      <c r="C379" s="18">
        <v>45869</v>
      </c>
      <c r="D379" t="str">
        <f t="shared" si="8"/>
        <v>8090</v>
      </c>
      <c r="E379" s="18">
        <v>45869</v>
      </c>
      <c r="F379" t="s">
        <v>844</v>
      </c>
      <c r="G379" t="s">
        <v>247</v>
      </c>
      <c r="H379" t="s">
        <v>845</v>
      </c>
      <c r="L379" s="35">
        <v>30960</v>
      </c>
    </row>
    <row r="380" spans="1:12" hidden="1" x14ac:dyDescent="0.25">
      <c r="A380">
        <v>0</v>
      </c>
      <c r="B380" t="s">
        <v>244</v>
      </c>
      <c r="C380" s="18">
        <v>45658</v>
      </c>
      <c r="D380" t="str">
        <f>"8091"</f>
        <v>8091</v>
      </c>
      <c r="E380" s="18">
        <v>44985</v>
      </c>
      <c r="F380" t="s">
        <v>846</v>
      </c>
      <c r="G380" t="s">
        <v>247</v>
      </c>
      <c r="H380" t="s">
        <v>847</v>
      </c>
      <c r="L380" s="35">
        <v>72000</v>
      </c>
    </row>
    <row r="381" spans="1:12" hidden="1" x14ac:dyDescent="0.25">
      <c r="A381">
        <v>0</v>
      </c>
      <c r="B381" t="s">
        <v>244</v>
      </c>
      <c r="C381" s="18">
        <v>45658</v>
      </c>
      <c r="D381" t="str">
        <f>"8092"</f>
        <v>8092</v>
      </c>
      <c r="E381" s="18">
        <v>44985</v>
      </c>
      <c r="F381" t="s">
        <v>848</v>
      </c>
      <c r="G381" t="s">
        <v>247</v>
      </c>
      <c r="H381" t="s">
        <v>849</v>
      </c>
      <c r="L381" s="35">
        <v>8000</v>
      </c>
    </row>
    <row r="382" spans="1:12" hidden="1" x14ac:dyDescent="0.25">
      <c r="A382">
        <v>0</v>
      </c>
      <c r="B382" t="s">
        <v>244</v>
      </c>
      <c r="C382" s="18">
        <v>45658</v>
      </c>
      <c r="D382" t="str">
        <f>"8093"</f>
        <v>8093</v>
      </c>
      <c r="E382" s="18">
        <v>44985</v>
      </c>
      <c r="F382" t="s">
        <v>850</v>
      </c>
      <c r="G382" t="s">
        <v>247</v>
      </c>
      <c r="H382" t="s">
        <v>851</v>
      </c>
      <c r="L382" s="35">
        <v>888000</v>
      </c>
    </row>
    <row r="383" spans="1:12" hidden="1" x14ac:dyDescent="0.25">
      <c r="A383">
        <v>0</v>
      </c>
      <c r="B383" t="s">
        <v>244</v>
      </c>
      <c r="C383" s="18">
        <v>45658</v>
      </c>
      <c r="D383" t="str">
        <f>"8094"</f>
        <v>8094</v>
      </c>
      <c r="E383" s="18">
        <v>44985</v>
      </c>
      <c r="F383" t="s">
        <v>852</v>
      </c>
      <c r="G383" t="s">
        <v>247</v>
      </c>
      <c r="H383" t="s">
        <v>853</v>
      </c>
      <c r="L383" s="35">
        <v>187200</v>
      </c>
    </row>
    <row r="384" spans="1:12" hidden="1" x14ac:dyDescent="0.25">
      <c r="A384">
        <v>0</v>
      </c>
      <c r="B384" t="s">
        <v>244</v>
      </c>
      <c r="C384" s="18">
        <v>45658</v>
      </c>
      <c r="D384" t="str">
        <f>"8095"</f>
        <v>8095</v>
      </c>
      <c r="E384" s="18">
        <v>44985</v>
      </c>
      <c r="F384" t="s">
        <v>854</v>
      </c>
      <c r="G384" t="s">
        <v>247</v>
      </c>
      <c r="H384" t="s">
        <v>855</v>
      </c>
      <c r="L384" s="35">
        <v>250000</v>
      </c>
    </row>
    <row r="385" spans="1:12" hidden="1" x14ac:dyDescent="0.25">
      <c r="A385">
        <v>0</v>
      </c>
      <c r="B385" t="s">
        <v>244</v>
      </c>
      <c r="C385" s="18">
        <v>45658</v>
      </c>
      <c r="D385" t="str">
        <f>"8096"</f>
        <v>8096</v>
      </c>
      <c r="E385" s="18">
        <v>44985</v>
      </c>
      <c r="F385" t="s">
        <v>856</v>
      </c>
      <c r="G385" t="s">
        <v>247</v>
      </c>
      <c r="H385" t="s">
        <v>857</v>
      </c>
      <c r="L385" s="35">
        <v>120000</v>
      </c>
    </row>
    <row r="386" spans="1:12" hidden="1" x14ac:dyDescent="0.25">
      <c r="A386">
        <v>0</v>
      </c>
      <c r="B386" t="s">
        <v>244</v>
      </c>
      <c r="C386" s="18">
        <v>45658</v>
      </c>
      <c r="D386" t="str">
        <f>"8097"</f>
        <v>8097</v>
      </c>
      <c r="E386" s="18">
        <v>44985</v>
      </c>
      <c r="F386" t="s">
        <v>858</v>
      </c>
      <c r="G386" t="s">
        <v>247</v>
      </c>
      <c r="H386" t="s">
        <v>859</v>
      </c>
      <c r="L386" s="35">
        <v>42480</v>
      </c>
    </row>
    <row r="387" spans="1:12" hidden="1" x14ac:dyDescent="0.25">
      <c r="A387">
        <v>0</v>
      </c>
      <c r="B387" t="s">
        <v>244</v>
      </c>
      <c r="C387" s="18">
        <v>45658</v>
      </c>
      <c r="D387" t="str">
        <f>"8098"</f>
        <v>8098</v>
      </c>
      <c r="E387" s="18">
        <v>44985</v>
      </c>
      <c r="F387" t="str">
        <f>"8207"</f>
        <v>8207</v>
      </c>
      <c r="G387" t="s">
        <v>247</v>
      </c>
      <c r="H387" t="s">
        <v>860</v>
      </c>
      <c r="L387" s="35">
        <v>22960</v>
      </c>
    </row>
    <row r="388" spans="1:12" hidden="1" x14ac:dyDescent="0.25">
      <c r="A388">
        <v>0</v>
      </c>
      <c r="B388" t="s">
        <v>244</v>
      </c>
      <c r="C388" s="18">
        <v>45658</v>
      </c>
      <c r="D388" t="str">
        <f>"8099"</f>
        <v>8099</v>
      </c>
      <c r="E388" s="18">
        <v>44985</v>
      </c>
      <c r="F388" t="s">
        <v>861</v>
      </c>
      <c r="G388" t="s">
        <v>247</v>
      </c>
      <c r="H388" t="s">
        <v>862</v>
      </c>
      <c r="L388" s="35">
        <v>28560</v>
      </c>
    </row>
    <row r="389" spans="1:12" hidden="1" x14ac:dyDescent="0.25">
      <c r="A389">
        <v>0</v>
      </c>
      <c r="B389" t="s">
        <v>244</v>
      </c>
      <c r="C389" s="18">
        <v>45658</v>
      </c>
      <c r="D389" t="str">
        <f>"8100"</f>
        <v>8100</v>
      </c>
      <c r="E389" s="18">
        <v>45016</v>
      </c>
      <c r="F389" t="s">
        <v>863</v>
      </c>
      <c r="G389" t="s">
        <v>247</v>
      </c>
      <c r="H389" t="s">
        <v>864</v>
      </c>
      <c r="L389" s="35">
        <v>252640</v>
      </c>
    </row>
    <row r="390" spans="1:12" hidden="1" x14ac:dyDescent="0.25">
      <c r="A390">
        <v>0</v>
      </c>
      <c r="B390" t="s">
        <v>244</v>
      </c>
      <c r="C390" s="18">
        <v>45658</v>
      </c>
      <c r="D390" t="str">
        <f>"8101"</f>
        <v>8101</v>
      </c>
      <c r="E390" t="str">
        <f>"00013015"</f>
        <v>00013015</v>
      </c>
      <c r="G390" t="s">
        <v>247</v>
      </c>
      <c r="H390" t="s">
        <v>865</v>
      </c>
      <c r="L390" s="35">
        <v>16631804.65</v>
      </c>
    </row>
    <row r="391" spans="1:12" hidden="1" x14ac:dyDescent="0.25">
      <c r="A391">
        <v>0</v>
      </c>
      <c r="B391" t="s">
        <v>244</v>
      </c>
      <c r="C391" s="18">
        <v>45658</v>
      </c>
      <c r="D391" t="str">
        <f>"8102"</f>
        <v>8102</v>
      </c>
      <c r="E391" s="18">
        <v>45016</v>
      </c>
      <c r="F391" t="s">
        <v>866</v>
      </c>
      <c r="G391" t="s">
        <v>247</v>
      </c>
      <c r="H391" t="s">
        <v>867</v>
      </c>
      <c r="L391" s="35">
        <v>131280</v>
      </c>
    </row>
    <row r="392" spans="1:12" hidden="1" x14ac:dyDescent="0.25">
      <c r="A392">
        <v>0</v>
      </c>
      <c r="B392" t="s">
        <v>244</v>
      </c>
      <c r="C392" s="18">
        <v>45658</v>
      </c>
      <c r="D392" t="str">
        <f>"8103"</f>
        <v>8103</v>
      </c>
      <c r="E392" s="18">
        <v>45044</v>
      </c>
      <c r="F392" t="s">
        <v>868</v>
      </c>
      <c r="G392" t="s">
        <v>247</v>
      </c>
      <c r="H392" t="s">
        <v>869</v>
      </c>
      <c r="L392" s="35">
        <v>72000</v>
      </c>
    </row>
    <row r="393" spans="1:12" hidden="1" x14ac:dyDescent="0.25">
      <c r="A393">
        <v>0</v>
      </c>
      <c r="B393" t="s">
        <v>244</v>
      </c>
      <c r="C393" s="18">
        <v>45658</v>
      </c>
      <c r="D393" t="str">
        <f>"8104"</f>
        <v>8104</v>
      </c>
      <c r="E393" s="18">
        <v>45044</v>
      </c>
      <c r="F393" t="str">
        <f>"519949"</f>
        <v>519949</v>
      </c>
      <c r="G393" t="s">
        <v>247</v>
      </c>
      <c r="H393" t="s">
        <v>870</v>
      </c>
      <c r="L393" s="35">
        <v>63960</v>
      </c>
    </row>
    <row r="394" spans="1:12" hidden="1" x14ac:dyDescent="0.25">
      <c r="A394">
        <v>0</v>
      </c>
      <c r="B394" t="s">
        <v>244</v>
      </c>
      <c r="C394" s="18">
        <v>45658</v>
      </c>
      <c r="D394" t="str">
        <f>"8105"</f>
        <v>8105</v>
      </c>
      <c r="E394" s="18">
        <v>45044</v>
      </c>
      <c r="F394" t="s">
        <v>871</v>
      </c>
      <c r="G394" t="s">
        <v>247</v>
      </c>
      <c r="H394" t="s">
        <v>872</v>
      </c>
      <c r="L394" s="35">
        <v>8000</v>
      </c>
    </row>
    <row r="395" spans="1:12" hidden="1" x14ac:dyDescent="0.25">
      <c r="A395">
        <v>0</v>
      </c>
      <c r="B395" t="s">
        <v>244</v>
      </c>
      <c r="C395" s="18">
        <v>45658</v>
      </c>
      <c r="D395" t="str">
        <f>"8106"</f>
        <v>8106</v>
      </c>
      <c r="E395" s="18">
        <v>45044</v>
      </c>
      <c r="F395" t="s">
        <v>873</v>
      </c>
      <c r="G395" t="s">
        <v>247</v>
      </c>
      <c r="H395" t="s">
        <v>874</v>
      </c>
      <c r="L395" s="35">
        <v>56000</v>
      </c>
    </row>
    <row r="396" spans="1:12" hidden="1" x14ac:dyDescent="0.25">
      <c r="A396">
        <v>0</v>
      </c>
      <c r="B396" t="s">
        <v>244</v>
      </c>
      <c r="C396" s="18">
        <v>45658</v>
      </c>
      <c r="D396" t="str">
        <f>"8107"</f>
        <v>8107</v>
      </c>
      <c r="E396" s="18">
        <v>45044</v>
      </c>
      <c r="F396" t="s">
        <v>875</v>
      </c>
      <c r="G396" t="s">
        <v>247</v>
      </c>
      <c r="H396" t="s">
        <v>876</v>
      </c>
      <c r="L396" s="35">
        <v>85600</v>
      </c>
    </row>
    <row r="397" spans="1:12" hidden="1" x14ac:dyDescent="0.25">
      <c r="A397">
        <v>0</v>
      </c>
      <c r="B397" t="s">
        <v>244</v>
      </c>
      <c r="C397" s="18">
        <v>45658</v>
      </c>
      <c r="D397" t="str">
        <f>"8108"</f>
        <v>8108</v>
      </c>
      <c r="E397" s="18">
        <v>45044</v>
      </c>
      <c r="F397" t="s">
        <v>877</v>
      </c>
      <c r="G397" t="s">
        <v>247</v>
      </c>
      <c r="H397" t="s">
        <v>878</v>
      </c>
      <c r="L397" s="35">
        <v>240000</v>
      </c>
    </row>
    <row r="398" spans="1:12" hidden="1" x14ac:dyDescent="0.25">
      <c r="A398">
        <v>0</v>
      </c>
      <c r="B398" t="s">
        <v>244</v>
      </c>
      <c r="C398" s="18">
        <v>45658</v>
      </c>
      <c r="D398" t="str">
        <f>"8109"</f>
        <v>8109</v>
      </c>
      <c r="E398" s="18">
        <v>45044</v>
      </c>
      <c r="F398" t="s">
        <v>879</v>
      </c>
      <c r="G398" t="s">
        <v>247</v>
      </c>
      <c r="H398" t="s">
        <v>880</v>
      </c>
      <c r="L398" s="35">
        <v>250000</v>
      </c>
    </row>
    <row r="399" spans="1:12" hidden="1" x14ac:dyDescent="0.25">
      <c r="A399">
        <v>0</v>
      </c>
      <c r="B399" t="s">
        <v>244</v>
      </c>
      <c r="C399" s="18">
        <v>45658</v>
      </c>
      <c r="D399" t="str">
        <f>"8110"</f>
        <v>8110</v>
      </c>
      <c r="E399" s="18">
        <v>45044</v>
      </c>
      <c r="F399" t="s">
        <v>881</v>
      </c>
      <c r="G399" t="s">
        <v>247</v>
      </c>
      <c r="H399" t="s">
        <v>882</v>
      </c>
      <c r="L399" s="35">
        <v>123200</v>
      </c>
    </row>
    <row r="400" spans="1:12" hidden="1" x14ac:dyDescent="0.25">
      <c r="A400">
        <v>0</v>
      </c>
      <c r="B400" t="s">
        <v>244</v>
      </c>
      <c r="C400" s="18">
        <v>45658</v>
      </c>
      <c r="D400" t="str">
        <f>"8111"</f>
        <v>8111</v>
      </c>
      <c r="E400" s="18">
        <v>45044</v>
      </c>
      <c r="F400" t="str">
        <f>"29334"</f>
        <v>29334</v>
      </c>
      <c r="G400" t="s">
        <v>247</v>
      </c>
      <c r="H400" t="s">
        <v>883</v>
      </c>
      <c r="L400" s="35">
        <v>200000</v>
      </c>
    </row>
    <row r="401" spans="1:12" hidden="1" x14ac:dyDescent="0.25">
      <c r="A401">
        <v>0</v>
      </c>
      <c r="B401" t="s">
        <v>244</v>
      </c>
      <c r="C401" s="18">
        <v>45658</v>
      </c>
      <c r="D401" t="str">
        <f>"8112"</f>
        <v>8112</v>
      </c>
      <c r="E401" s="18">
        <v>45044</v>
      </c>
      <c r="F401" t="str">
        <f>"338606"</f>
        <v>338606</v>
      </c>
      <c r="G401" t="s">
        <v>247</v>
      </c>
      <c r="H401" t="s">
        <v>884</v>
      </c>
      <c r="L401" s="35">
        <v>65600</v>
      </c>
    </row>
    <row r="402" spans="1:12" hidden="1" x14ac:dyDescent="0.25">
      <c r="A402">
        <v>0</v>
      </c>
      <c r="B402" t="s">
        <v>244</v>
      </c>
      <c r="C402" s="18">
        <v>45658</v>
      </c>
      <c r="D402" t="str">
        <f>"8113"</f>
        <v>8113</v>
      </c>
      <c r="E402" s="18">
        <v>45044</v>
      </c>
      <c r="F402" t="s">
        <v>885</v>
      </c>
      <c r="G402" t="s">
        <v>247</v>
      </c>
      <c r="H402" t="s">
        <v>886</v>
      </c>
      <c r="L402" s="35">
        <v>30160</v>
      </c>
    </row>
    <row r="403" spans="1:12" hidden="1" x14ac:dyDescent="0.25">
      <c r="A403">
        <v>0</v>
      </c>
      <c r="B403" t="s">
        <v>244</v>
      </c>
      <c r="C403" s="18">
        <v>45658</v>
      </c>
      <c r="D403" t="str">
        <f>"8114"</f>
        <v>8114</v>
      </c>
      <c r="E403" s="18">
        <v>45044</v>
      </c>
      <c r="F403" t="s">
        <v>887</v>
      </c>
      <c r="G403" t="s">
        <v>247</v>
      </c>
      <c r="H403" t="s">
        <v>888</v>
      </c>
      <c r="L403" s="35">
        <v>30800</v>
      </c>
    </row>
    <row r="404" spans="1:12" hidden="1" x14ac:dyDescent="0.25">
      <c r="A404">
        <v>0</v>
      </c>
      <c r="B404" t="s">
        <v>244</v>
      </c>
      <c r="C404" s="18">
        <v>45658</v>
      </c>
      <c r="D404" t="str">
        <f>"8115"</f>
        <v>8115</v>
      </c>
      <c r="E404" s="18">
        <v>45044</v>
      </c>
      <c r="F404" t="s">
        <v>889</v>
      </c>
      <c r="G404" t="s">
        <v>247</v>
      </c>
      <c r="H404" t="s">
        <v>890</v>
      </c>
      <c r="L404" s="35">
        <v>38400</v>
      </c>
    </row>
    <row r="405" spans="1:12" hidden="1" x14ac:dyDescent="0.25">
      <c r="A405">
        <v>0</v>
      </c>
      <c r="B405" t="s">
        <v>244</v>
      </c>
      <c r="C405" s="18">
        <v>45658</v>
      </c>
      <c r="D405" t="str">
        <f>"8116"</f>
        <v>8116</v>
      </c>
      <c r="E405" s="18">
        <v>45044</v>
      </c>
      <c r="F405" s="32">
        <v>44986</v>
      </c>
      <c r="G405" t="s">
        <v>247</v>
      </c>
      <c r="H405" t="s">
        <v>891</v>
      </c>
      <c r="L405" s="35">
        <v>22960</v>
      </c>
    </row>
    <row r="406" spans="1:12" hidden="1" x14ac:dyDescent="0.25">
      <c r="A406">
        <v>0</v>
      </c>
      <c r="B406" t="s">
        <v>244</v>
      </c>
      <c r="C406" s="18">
        <v>45658</v>
      </c>
      <c r="D406" t="str">
        <f>"8117"</f>
        <v>8117</v>
      </c>
      <c r="E406" s="18">
        <v>45044</v>
      </c>
      <c r="F406" t="s">
        <v>892</v>
      </c>
      <c r="G406" t="s">
        <v>247</v>
      </c>
      <c r="H406" t="s">
        <v>893</v>
      </c>
      <c r="L406" s="35">
        <v>118400</v>
      </c>
    </row>
    <row r="407" spans="1:12" hidden="1" x14ac:dyDescent="0.25">
      <c r="A407">
        <v>0</v>
      </c>
      <c r="B407" t="s">
        <v>244</v>
      </c>
      <c r="C407" s="18">
        <v>45658</v>
      </c>
      <c r="D407" t="str">
        <f>"8118"</f>
        <v>8118</v>
      </c>
      <c r="E407" s="18">
        <v>45044</v>
      </c>
      <c r="F407" t="s">
        <v>894</v>
      </c>
      <c r="G407" t="s">
        <v>247</v>
      </c>
      <c r="H407" t="s">
        <v>895</v>
      </c>
      <c r="L407" s="35">
        <v>12000</v>
      </c>
    </row>
    <row r="408" spans="1:12" hidden="1" x14ac:dyDescent="0.25">
      <c r="A408">
        <v>0</v>
      </c>
      <c r="B408" t="s">
        <v>244</v>
      </c>
      <c r="C408" s="18">
        <v>45658</v>
      </c>
      <c r="D408" t="str">
        <f>"8119"</f>
        <v>8119</v>
      </c>
      <c r="E408" s="18">
        <v>45044</v>
      </c>
      <c r="F408" t="s">
        <v>896</v>
      </c>
      <c r="G408" t="s">
        <v>247</v>
      </c>
      <c r="H408" t="s">
        <v>897</v>
      </c>
      <c r="L408" s="35">
        <v>183200</v>
      </c>
    </row>
    <row r="409" spans="1:12" hidden="1" x14ac:dyDescent="0.25">
      <c r="A409">
        <v>0</v>
      </c>
      <c r="B409" t="s">
        <v>244</v>
      </c>
      <c r="C409" s="18">
        <v>45658</v>
      </c>
      <c r="D409" t="str">
        <f>"8120"</f>
        <v>8120</v>
      </c>
      <c r="E409" s="18">
        <v>45044</v>
      </c>
      <c r="F409" t="s">
        <v>898</v>
      </c>
      <c r="G409" t="s">
        <v>247</v>
      </c>
      <c r="H409" t="s">
        <v>899</v>
      </c>
      <c r="L409" s="35">
        <v>32000</v>
      </c>
    </row>
    <row r="410" spans="1:12" hidden="1" x14ac:dyDescent="0.25">
      <c r="A410">
        <v>0</v>
      </c>
      <c r="B410" t="s">
        <v>244</v>
      </c>
      <c r="C410" s="18">
        <v>45658</v>
      </c>
      <c r="D410" t="str">
        <f>"8121"</f>
        <v>8121</v>
      </c>
      <c r="E410" s="18">
        <v>45058</v>
      </c>
      <c r="F410" t="str">
        <f>"11962"</f>
        <v>11962</v>
      </c>
      <c r="G410" t="s">
        <v>247</v>
      </c>
      <c r="H410" t="s">
        <v>900</v>
      </c>
      <c r="L410" s="35">
        <v>136000</v>
      </c>
    </row>
    <row r="411" spans="1:12" hidden="1" x14ac:dyDescent="0.25">
      <c r="A411">
        <v>0</v>
      </c>
      <c r="B411" t="s">
        <v>244</v>
      </c>
      <c r="C411" s="18">
        <v>45658</v>
      </c>
      <c r="D411" t="str">
        <f>"8122"</f>
        <v>8122</v>
      </c>
      <c r="E411" s="18">
        <v>45072</v>
      </c>
      <c r="F411" s="18">
        <v>45054</v>
      </c>
      <c r="G411" t="s">
        <v>247</v>
      </c>
      <c r="H411" t="s">
        <v>901</v>
      </c>
      <c r="L411" s="35">
        <v>248000</v>
      </c>
    </row>
    <row r="412" spans="1:12" hidden="1" x14ac:dyDescent="0.25">
      <c r="A412">
        <v>0</v>
      </c>
      <c r="B412" t="s">
        <v>244</v>
      </c>
      <c r="C412" s="18">
        <v>45658</v>
      </c>
      <c r="D412" t="str">
        <f>"8123"</f>
        <v>8123</v>
      </c>
      <c r="E412" s="18">
        <v>45072</v>
      </c>
      <c r="F412" t="str">
        <f>"448"</f>
        <v>448</v>
      </c>
      <c r="G412" t="s">
        <v>247</v>
      </c>
      <c r="H412" t="s">
        <v>902</v>
      </c>
      <c r="L412" s="35">
        <v>200000</v>
      </c>
    </row>
    <row r="413" spans="1:12" hidden="1" x14ac:dyDescent="0.25">
      <c r="A413">
        <v>0</v>
      </c>
      <c r="B413" t="s">
        <v>244</v>
      </c>
      <c r="C413" s="18">
        <v>45658</v>
      </c>
      <c r="D413" t="str">
        <f>"8124"</f>
        <v>8124</v>
      </c>
      <c r="E413" s="18">
        <v>45072</v>
      </c>
      <c r="F413" t="s">
        <v>903</v>
      </c>
      <c r="G413" t="s">
        <v>247</v>
      </c>
      <c r="H413" t="s">
        <v>904</v>
      </c>
      <c r="L413" s="35">
        <v>44800</v>
      </c>
    </row>
    <row r="414" spans="1:12" hidden="1" x14ac:dyDescent="0.25">
      <c r="A414">
        <v>0</v>
      </c>
      <c r="B414" t="s">
        <v>244</v>
      </c>
      <c r="C414" s="18">
        <v>45658</v>
      </c>
      <c r="D414" t="str">
        <f>"8125"</f>
        <v>8125</v>
      </c>
      <c r="E414" s="18">
        <v>45072</v>
      </c>
      <c r="F414" t="s">
        <v>905</v>
      </c>
      <c r="G414" t="s">
        <v>247</v>
      </c>
      <c r="H414" t="s">
        <v>906</v>
      </c>
      <c r="L414" s="35">
        <v>171440</v>
      </c>
    </row>
    <row r="415" spans="1:12" hidden="1" x14ac:dyDescent="0.25">
      <c r="A415">
        <v>0</v>
      </c>
      <c r="B415" t="s">
        <v>244</v>
      </c>
      <c r="C415" s="18">
        <v>45658</v>
      </c>
      <c r="D415" t="str">
        <f>"8126"</f>
        <v>8126</v>
      </c>
      <c r="E415" s="18">
        <v>45072</v>
      </c>
      <c r="F415" t="s">
        <v>907</v>
      </c>
      <c r="G415" t="s">
        <v>247</v>
      </c>
      <c r="H415" t="s">
        <v>908</v>
      </c>
      <c r="L415" s="35">
        <v>1389680</v>
      </c>
    </row>
    <row r="416" spans="1:12" hidden="1" x14ac:dyDescent="0.25">
      <c r="A416">
        <v>0</v>
      </c>
      <c r="B416" t="s">
        <v>244</v>
      </c>
      <c r="C416" s="18">
        <v>45658</v>
      </c>
      <c r="D416" t="str">
        <f>"8127"</f>
        <v>8127</v>
      </c>
      <c r="E416" s="18">
        <v>45072</v>
      </c>
      <c r="F416" t="s">
        <v>909</v>
      </c>
      <c r="G416" t="s">
        <v>247</v>
      </c>
      <c r="H416" t="s">
        <v>910</v>
      </c>
      <c r="L416" s="35">
        <v>96320</v>
      </c>
    </row>
    <row r="417" spans="1:12" hidden="1" x14ac:dyDescent="0.25">
      <c r="A417">
        <v>0</v>
      </c>
      <c r="B417" t="s">
        <v>244</v>
      </c>
      <c r="C417" s="18">
        <v>45658</v>
      </c>
      <c r="D417" t="str">
        <f>"8128"</f>
        <v>8128</v>
      </c>
      <c r="E417" s="18">
        <v>45072</v>
      </c>
      <c r="F417" t="s">
        <v>911</v>
      </c>
      <c r="G417" t="s">
        <v>247</v>
      </c>
      <c r="H417" t="s">
        <v>912</v>
      </c>
      <c r="L417" s="35">
        <v>68160</v>
      </c>
    </row>
    <row r="418" spans="1:12" hidden="1" x14ac:dyDescent="0.25">
      <c r="A418">
        <v>0</v>
      </c>
      <c r="B418" t="s">
        <v>244</v>
      </c>
      <c r="C418" s="18">
        <v>45658</v>
      </c>
      <c r="D418" t="str">
        <f>"8129"</f>
        <v>8129</v>
      </c>
      <c r="E418" s="18">
        <v>45072</v>
      </c>
      <c r="F418" t="s">
        <v>913</v>
      </c>
      <c r="G418" t="s">
        <v>247</v>
      </c>
      <c r="H418" t="s">
        <v>914</v>
      </c>
      <c r="L418" s="35">
        <v>40640</v>
      </c>
    </row>
    <row r="419" spans="1:12" hidden="1" x14ac:dyDescent="0.25">
      <c r="A419">
        <v>0</v>
      </c>
      <c r="B419" t="s">
        <v>244</v>
      </c>
      <c r="C419" s="18">
        <v>45658</v>
      </c>
      <c r="D419" t="str">
        <f>"8130"</f>
        <v>8130</v>
      </c>
      <c r="E419" s="18">
        <v>45072</v>
      </c>
      <c r="F419" t="s">
        <v>915</v>
      </c>
      <c r="G419" t="s">
        <v>247</v>
      </c>
      <c r="H419" t="s">
        <v>916</v>
      </c>
      <c r="L419" s="35">
        <v>118480</v>
      </c>
    </row>
    <row r="420" spans="1:12" hidden="1" x14ac:dyDescent="0.25">
      <c r="A420">
        <v>0</v>
      </c>
      <c r="B420" t="s">
        <v>244</v>
      </c>
      <c r="C420" s="18">
        <v>45658</v>
      </c>
      <c r="D420" t="str">
        <f>"8131"</f>
        <v>8131</v>
      </c>
      <c r="E420" s="18">
        <v>45072</v>
      </c>
      <c r="F420" t="s">
        <v>917</v>
      </c>
      <c r="G420" t="s">
        <v>247</v>
      </c>
      <c r="H420" t="s">
        <v>918</v>
      </c>
      <c r="L420" s="35">
        <v>32000</v>
      </c>
    </row>
    <row r="421" spans="1:12" hidden="1" x14ac:dyDescent="0.25">
      <c r="A421">
        <v>0</v>
      </c>
      <c r="B421" t="s">
        <v>244</v>
      </c>
      <c r="C421" s="18">
        <v>45658</v>
      </c>
      <c r="D421" t="str">
        <f>"8132"</f>
        <v>8132</v>
      </c>
      <c r="E421" s="18">
        <v>45066</v>
      </c>
      <c r="F421" t="s">
        <v>919</v>
      </c>
      <c r="G421" t="s">
        <v>247</v>
      </c>
      <c r="H421" t="s">
        <v>920</v>
      </c>
      <c r="L421" s="35">
        <v>77600</v>
      </c>
    </row>
    <row r="422" spans="1:12" hidden="1" x14ac:dyDescent="0.25">
      <c r="A422">
        <v>0</v>
      </c>
      <c r="B422" t="s">
        <v>244</v>
      </c>
      <c r="C422" s="18">
        <v>45658</v>
      </c>
      <c r="D422" t="str">
        <f>"8133"</f>
        <v>8133</v>
      </c>
      <c r="E422" s="18">
        <v>45066</v>
      </c>
      <c r="F422" t="s">
        <v>921</v>
      </c>
      <c r="G422" t="s">
        <v>247</v>
      </c>
      <c r="H422" t="s">
        <v>922</v>
      </c>
      <c r="L422" s="35">
        <v>16000</v>
      </c>
    </row>
    <row r="423" spans="1:12" hidden="1" x14ac:dyDescent="0.25">
      <c r="A423">
        <v>0</v>
      </c>
      <c r="B423" t="s">
        <v>244</v>
      </c>
      <c r="C423" s="18">
        <v>45658</v>
      </c>
      <c r="D423" t="str">
        <f>"8134"</f>
        <v>8134</v>
      </c>
      <c r="E423" s="18">
        <v>45065</v>
      </c>
      <c r="F423" s="33">
        <v>45028</v>
      </c>
      <c r="G423" t="s">
        <v>247</v>
      </c>
      <c r="H423" t="s">
        <v>923</v>
      </c>
      <c r="L423" s="35">
        <v>24000</v>
      </c>
    </row>
    <row r="424" spans="1:12" hidden="1" x14ac:dyDescent="0.25">
      <c r="A424">
        <v>0</v>
      </c>
      <c r="B424" t="s">
        <v>244</v>
      </c>
      <c r="C424" s="18">
        <v>45658</v>
      </c>
      <c r="D424" t="str">
        <f>"8135"</f>
        <v>8135</v>
      </c>
      <c r="E424" s="18">
        <v>45065</v>
      </c>
      <c r="F424" t="s">
        <v>924</v>
      </c>
      <c r="G424" t="s">
        <v>247</v>
      </c>
      <c r="H424" t="s">
        <v>925</v>
      </c>
      <c r="L424" s="35">
        <v>347440</v>
      </c>
    </row>
    <row r="425" spans="1:12" hidden="1" x14ac:dyDescent="0.25">
      <c r="A425">
        <v>0</v>
      </c>
      <c r="B425" t="s">
        <v>244</v>
      </c>
      <c r="C425" s="18">
        <v>45658</v>
      </c>
      <c r="D425" t="str">
        <f>"8136"</f>
        <v>8136</v>
      </c>
      <c r="E425" s="18">
        <v>45051</v>
      </c>
      <c r="F425" t="s">
        <v>926</v>
      </c>
      <c r="G425" t="s">
        <v>247</v>
      </c>
      <c r="H425" t="s">
        <v>927</v>
      </c>
      <c r="L425" s="35">
        <v>771680</v>
      </c>
    </row>
    <row r="426" spans="1:12" hidden="1" x14ac:dyDescent="0.25">
      <c r="A426">
        <v>0</v>
      </c>
      <c r="B426" t="s">
        <v>244</v>
      </c>
      <c r="C426" s="18">
        <v>45658</v>
      </c>
      <c r="D426" t="str">
        <f>"8137"</f>
        <v>8137</v>
      </c>
      <c r="E426" s="18">
        <v>45079</v>
      </c>
      <c r="F426" t="str">
        <f>"13061"</f>
        <v>13061</v>
      </c>
      <c r="G426" t="s">
        <v>247</v>
      </c>
      <c r="H426" t="s">
        <v>928</v>
      </c>
      <c r="L426" s="35">
        <v>200000</v>
      </c>
    </row>
    <row r="427" spans="1:12" hidden="1" x14ac:dyDescent="0.25">
      <c r="A427">
        <v>0</v>
      </c>
      <c r="B427" t="s">
        <v>244</v>
      </c>
      <c r="C427" s="18">
        <v>45658</v>
      </c>
      <c r="D427" t="str">
        <f>"8138"</f>
        <v>8138</v>
      </c>
      <c r="E427" s="18">
        <v>45079</v>
      </c>
      <c r="F427" t="str">
        <f>"13063"</f>
        <v>13063</v>
      </c>
      <c r="G427" t="s">
        <v>247</v>
      </c>
      <c r="H427" t="s">
        <v>929</v>
      </c>
      <c r="L427" s="35">
        <v>160000</v>
      </c>
    </row>
    <row r="428" spans="1:12" hidden="1" x14ac:dyDescent="0.25">
      <c r="A428">
        <v>0</v>
      </c>
      <c r="B428" t="s">
        <v>244</v>
      </c>
      <c r="C428" s="18">
        <v>45658</v>
      </c>
      <c r="D428" t="str">
        <f>"8139"</f>
        <v>8139</v>
      </c>
      <c r="E428" s="18">
        <v>45079</v>
      </c>
      <c r="F428" t="str">
        <f>"13062"</f>
        <v>13062</v>
      </c>
      <c r="G428" t="s">
        <v>247</v>
      </c>
      <c r="H428" t="s">
        <v>930</v>
      </c>
      <c r="L428" s="35">
        <v>124000</v>
      </c>
    </row>
    <row r="429" spans="1:12" hidden="1" x14ac:dyDescent="0.25">
      <c r="A429">
        <v>0</v>
      </c>
      <c r="B429" t="s">
        <v>244</v>
      </c>
      <c r="C429" s="18">
        <v>45658</v>
      </c>
      <c r="D429" t="str">
        <f>"8140"</f>
        <v>8140</v>
      </c>
      <c r="E429" s="18">
        <v>45094</v>
      </c>
      <c r="F429" t="s">
        <v>931</v>
      </c>
      <c r="G429" t="s">
        <v>247</v>
      </c>
      <c r="H429" t="s">
        <v>932</v>
      </c>
      <c r="L429" s="35">
        <v>50000</v>
      </c>
    </row>
    <row r="430" spans="1:12" hidden="1" x14ac:dyDescent="0.25">
      <c r="A430">
        <v>0</v>
      </c>
      <c r="B430" t="s">
        <v>244</v>
      </c>
      <c r="C430" s="18">
        <v>45658</v>
      </c>
      <c r="D430" t="str">
        <f>"8141"</f>
        <v>8141</v>
      </c>
      <c r="E430" s="18">
        <v>45094</v>
      </c>
      <c r="F430" t="s">
        <v>933</v>
      </c>
      <c r="G430" t="s">
        <v>247</v>
      </c>
      <c r="H430" t="s">
        <v>934</v>
      </c>
      <c r="L430" s="35">
        <v>28000</v>
      </c>
    </row>
    <row r="431" spans="1:12" hidden="1" x14ac:dyDescent="0.25">
      <c r="A431">
        <v>0</v>
      </c>
      <c r="B431" t="s">
        <v>244</v>
      </c>
      <c r="C431" s="18">
        <v>45658</v>
      </c>
      <c r="D431" t="str">
        <f>"8142"</f>
        <v>8142</v>
      </c>
      <c r="E431" s="18">
        <v>45094</v>
      </c>
      <c r="F431" t="s">
        <v>935</v>
      </c>
      <c r="G431" t="s">
        <v>247</v>
      </c>
      <c r="H431" t="s">
        <v>936</v>
      </c>
      <c r="L431" s="35">
        <v>72000</v>
      </c>
    </row>
    <row r="432" spans="1:12" hidden="1" x14ac:dyDescent="0.25">
      <c r="A432">
        <v>0</v>
      </c>
      <c r="B432" t="s">
        <v>244</v>
      </c>
      <c r="C432" s="18">
        <v>45658</v>
      </c>
      <c r="D432" t="str">
        <f>"8143"</f>
        <v>8143</v>
      </c>
      <c r="E432" s="18">
        <v>45094</v>
      </c>
      <c r="F432" t="s">
        <v>937</v>
      </c>
      <c r="G432" t="s">
        <v>247</v>
      </c>
      <c r="H432" t="s">
        <v>938</v>
      </c>
      <c r="L432" s="35">
        <v>8000</v>
      </c>
    </row>
    <row r="433" spans="1:12" hidden="1" x14ac:dyDescent="0.25">
      <c r="A433">
        <v>0</v>
      </c>
      <c r="B433" t="s">
        <v>244</v>
      </c>
      <c r="C433" s="18">
        <v>45658</v>
      </c>
      <c r="D433" t="str">
        <f>"8144"</f>
        <v>8144</v>
      </c>
      <c r="E433" s="18">
        <v>45094</v>
      </c>
      <c r="F433" t="s">
        <v>939</v>
      </c>
      <c r="G433" t="s">
        <v>247</v>
      </c>
      <c r="H433" t="s">
        <v>940</v>
      </c>
      <c r="L433" s="35">
        <v>112000</v>
      </c>
    </row>
    <row r="434" spans="1:12" hidden="1" x14ac:dyDescent="0.25">
      <c r="A434">
        <v>0</v>
      </c>
      <c r="B434" t="s">
        <v>244</v>
      </c>
      <c r="C434" s="18">
        <v>45658</v>
      </c>
      <c r="D434" t="str">
        <f>"8145"</f>
        <v>8145</v>
      </c>
      <c r="E434" s="18">
        <v>45094</v>
      </c>
      <c r="F434" t="s">
        <v>941</v>
      </c>
      <c r="G434" t="s">
        <v>247</v>
      </c>
      <c r="H434" t="s">
        <v>942</v>
      </c>
      <c r="L434" s="35">
        <v>29600</v>
      </c>
    </row>
    <row r="435" spans="1:12" hidden="1" x14ac:dyDescent="0.25">
      <c r="A435">
        <v>0</v>
      </c>
      <c r="B435" t="s">
        <v>244</v>
      </c>
      <c r="C435" s="18">
        <v>45658</v>
      </c>
      <c r="D435" t="str">
        <f>"8146"</f>
        <v>8146</v>
      </c>
      <c r="E435" s="18">
        <v>45094</v>
      </c>
      <c r="F435" t="s">
        <v>943</v>
      </c>
      <c r="G435" t="s">
        <v>247</v>
      </c>
      <c r="H435" t="s">
        <v>944</v>
      </c>
      <c r="L435" s="35">
        <v>250000</v>
      </c>
    </row>
    <row r="436" spans="1:12" hidden="1" x14ac:dyDescent="0.25">
      <c r="A436">
        <v>0</v>
      </c>
      <c r="B436" t="s">
        <v>244</v>
      </c>
      <c r="C436" s="18">
        <v>45658</v>
      </c>
      <c r="D436" t="str">
        <f>"8147"</f>
        <v>8147</v>
      </c>
      <c r="E436" s="18">
        <v>45094</v>
      </c>
      <c r="F436" t="s">
        <v>945</v>
      </c>
      <c r="G436" t="s">
        <v>247</v>
      </c>
      <c r="H436" t="s">
        <v>946</v>
      </c>
      <c r="L436" s="35">
        <v>1887300</v>
      </c>
    </row>
    <row r="437" spans="1:12" hidden="1" x14ac:dyDescent="0.25">
      <c r="A437">
        <v>0</v>
      </c>
      <c r="B437" t="s">
        <v>244</v>
      </c>
      <c r="C437" s="18">
        <v>45658</v>
      </c>
      <c r="D437" t="str">
        <f>"8148"</f>
        <v>8148</v>
      </c>
      <c r="E437" s="18">
        <v>45094</v>
      </c>
      <c r="F437" s="32">
        <v>45017</v>
      </c>
      <c r="G437" t="s">
        <v>247</v>
      </c>
      <c r="H437" t="s">
        <v>947</v>
      </c>
      <c r="L437" s="35">
        <v>40000</v>
      </c>
    </row>
    <row r="438" spans="1:12" hidden="1" x14ac:dyDescent="0.25">
      <c r="A438">
        <v>0</v>
      </c>
      <c r="B438" t="s">
        <v>244</v>
      </c>
      <c r="C438" s="18">
        <v>45658</v>
      </c>
      <c r="D438" t="str">
        <f>"8149"</f>
        <v>8149</v>
      </c>
      <c r="E438" s="18">
        <v>45094</v>
      </c>
      <c r="F438" t="s">
        <v>948</v>
      </c>
      <c r="G438" t="s">
        <v>247</v>
      </c>
      <c r="H438" t="s">
        <v>949</v>
      </c>
      <c r="L438" s="35">
        <v>84480</v>
      </c>
    </row>
    <row r="439" spans="1:12" hidden="1" x14ac:dyDescent="0.25">
      <c r="A439">
        <v>0</v>
      </c>
      <c r="B439" t="s">
        <v>244</v>
      </c>
      <c r="C439" s="18">
        <v>45658</v>
      </c>
      <c r="D439" t="str">
        <f>"8150"</f>
        <v>8150</v>
      </c>
      <c r="E439" s="18">
        <v>45094</v>
      </c>
      <c r="F439" t="s">
        <v>950</v>
      </c>
      <c r="G439" t="s">
        <v>247</v>
      </c>
      <c r="H439" t="s">
        <v>951</v>
      </c>
      <c r="L439" s="35">
        <v>220800</v>
      </c>
    </row>
    <row r="440" spans="1:12" hidden="1" x14ac:dyDescent="0.25">
      <c r="A440">
        <v>0</v>
      </c>
      <c r="B440" t="s">
        <v>244</v>
      </c>
      <c r="C440" s="18">
        <v>45658</v>
      </c>
      <c r="D440" t="str">
        <f>"8151"</f>
        <v>8151</v>
      </c>
      <c r="E440" s="18">
        <v>45094</v>
      </c>
      <c r="F440" t="s">
        <v>952</v>
      </c>
      <c r="G440" t="s">
        <v>247</v>
      </c>
      <c r="H440" t="s">
        <v>953</v>
      </c>
      <c r="L440" s="35">
        <v>330400</v>
      </c>
    </row>
    <row r="441" spans="1:12" hidden="1" x14ac:dyDescent="0.25">
      <c r="A441">
        <v>0</v>
      </c>
      <c r="B441" t="s">
        <v>244</v>
      </c>
      <c r="C441" s="18">
        <v>45658</v>
      </c>
      <c r="D441" t="str">
        <f>"8152"</f>
        <v>8152</v>
      </c>
      <c r="E441" s="18">
        <v>45094</v>
      </c>
      <c r="F441" t="s">
        <v>954</v>
      </c>
      <c r="G441" t="s">
        <v>247</v>
      </c>
      <c r="H441" t="s">
        <v>955</v>
      </c>
      <c r="L441" s="35">
        <v>8000</v>
      </c>
    </row>
    <row r="442" spans="1:12" hidden="1" x14ac:dyDescent="0.25">
      <c r="A442">
        <v>0</v>
      </c>
      <c r="B442" t="s">
        <v>244</v>
      </c>
      <c r="C442" s="18">
        <v>45658</v>
      </c>
      <c r="D442" t="str">
        <f>"8153"</f>
        <v>8153</v>
      </c>
      <c r="E442" s="18">
        <v>45094</v>
      </c>
      <c r="F442" t="s">
        <v>956</v>
      </c>
      <c r="G442" t="s">
        <v>247</v>
      </c>
      <c r="H442" t="s">
        <v>957</v>
      </c>
      <c r="L442" s="35">
        <v>311920</v>
      </c>
    </row>
    <row r="443" spans="1:12" hidden="1" x14ac:dyDescent="0.25">
      <c r="A443">
        <v>0</v>
      </c>
      <c r="B443" t="s">
        <v>244</v>
      </c>
      <c r="C443" s="18">
        <v>45658</v>
      </c>
      <c r="D443" t="str">
        <f>"8154"</f>
        <v>8154</v>
      </c>
      <c r="E443" s="18">
        <v>45094</v>
      </c>
      <c r="F443" t="s">
        <v>958</v>
      </c>
      <c r="G443" t="s">
        <v>247</v>
      </c>
      <c r="H443" t="s">
        <v>959</v>
      </c>
      <c r="L443" s="35">
        <v>87440</v>
      </c>
    </row>
    <row r="444" spans="1:12" hidden="1" x14ac:dyDescent="0.25">
      <c r="A444">
        <v>0</v>
      </c>
      <c r="B444" t="s">
        <v>244</v>
      </c>
      <c r="C444" s="18">
        <v>45658</v>
      </c>
      <c r="D444" t="str">
        <f>"8155"</f>
        <v>8155</v>
      </c>
      <c r="E444" s="18">
        <v>45094</v>
      </c>
      <c r="F444" t="s">
        <v>960</v>
      </c>
      <c r="G444" t="s">
        <v>247</v>
      </c>
      <c r="H444" t="s">
        <v>961</v>
      </c>
      <c r="L444" s="35">
        <v>12000</v>
      </c>
    </row>
    <row r="445" spans="1:12" hidden="1" x14ac:dyDescent="0.25">
      <c r="A445">
        <v>0</v>
      </c>
      <c r="B445" t="s">
        <v>244</v>
      </c>
      <c r="C445" s="18">
        <v>45658</v>
      </c>
      <c r="D445" t="str">
        <f>"8156"</f>
        <v>8156</v>
      </c>
      <c r="E445" s="18">
        <v>45092</v>
      </c>
      <c r="F445" t="str">
        <f>"31731"</f>
        <v>31731</v>
      </c>
      <c r="G445" t="s">
        <v>247</v>
      </c>
      <c r="H445" t="s">
        <v>962</v>
      </c>
      <c r="L445" s="35">
        <v>153600</v>
      </c>
    </row>
    <row r="446" spans="1:12" hidden="1" x14ac:dyDescent="0.25">
      <c r="A446">
        <v>0</v>
      </c>
      <c r="B446" t="s">
        <v>244</v>
      </c>
      <c r="C446" s="18">
        <v>45658</v>
      </c>
      <c r="D446" t="str">
        <f>"8157"</f>
        <v>8157</v>
      </c>
      <c r="E446" s="18">
        <v>45093</v>
      </c>
      <c r="F446" t="s">
        <v>963</v>
      </c>
      <c r="G446" t="s">
        <v>247</v>
      </c>
      <c r="H446" t="s">
        <v>964</v>
      </c>
      <c r="L446" s="35">
        <v>76800</v>
      </c>
    </row>
    <row r="447" spans="1:12" hidden="1" x14ac:dyDescent="0.25">
      <c r="A447">
        <v>0</v>
      </c>
      <c r="B447" t="s">
        <v>244</v>
      </c>
      <c r="C447" s="18">
        <v>45658</v>
      </c>
      <c r="D447" t="str">
        <f>"8158"</f>
        <v>8158</v>
      </c>
      <c r="E447" s="18">
        <v>45108</v>
      </c>
      <c r="F447" t="str">
        <f>"202304063"</f>
        <v>202304063</v>
      </c>
      <c r="G447" t="s">
        <v>247</v>
      </c>
      <c r="H447" t="s">
        <v>965</v>
      </c>
      <c r="L447" s="35">
        <v>12000</v>
      </c>
    </row>
    <row r="448" spans="1:12" hidden="1" x14ac:dyDescent="0.25">
      <c r="A448">
        <v>0</v>
      </c>
      <c r="B448" t="s">
        <v>244</v>
      </c>
      <c r="C448" s="18">
        <v>45658</v>
      </c>
      <c r="D448" t="str">
        <f>"8159"</f>
        <v>8159</v>
      </c>
      <c r="E448" s="18">
        <v>45108</v>
      </c>
      <c r="F448" s="18">
        <v>45005</v>
      </c>
      <c r="G448" t="s">
        <v>247</v>
      </c>
      <c r="H448" t="s">
        <v>966</v>
      </c>
      <c r="L448" s="35">
        <v>41600</v>
      </c>
    </row>
    <row r="449" spans="1:12" hidden="1" x14ac:dyDescent="0.25">
      <c r="A449">
        <v>0</v>
      </c>
      <c r="B449" t="s">
        <v>250</v>
      </c>
      <c r="C449" s="18">
        <v>45863</v>
      </c>
      <c r="D449" t="str">
        <f>"8159"</f>
        <v>8159</v>
      </c>
      <c r="E449" s="18">
        <v>45863</v>
      </c>
      <c r="F449" t="str">
        <f>"25020"</f>
        <v>25020</v>
      </c>
      <c r="G449" t="s">
        <v>247</v>
      </c>
      <c r="H449" t="s">
        <v>613</v>
      </c>
      <c r="L449" s="35">
        <v>28000</v>
      </c>
    </row>
    <row r="450" spans="1:12" hidden="1" x14ac:dyDescent="0.25">
      <c r="A450">
        <v>0</v>
      </c>
      <c r="B450" t="s">
        <v>244</v>
      </c>
      <c r="C450" s="18">
        <v>45658</v>
      </c>
      <c r="D450" t="str">
        <f>"8160"</f>
        <v>8160</v>
      </c>
      <c r="E450" s="18">
        <v>45094</v>
      </c>
      <c r="F450" t="str">
        <f>"024"</f>
        <v>024</v>
      </c>
      <c r="G450" t="s">
        <v>247</v>
      </c>
      <c r="H450" t="s">
        <v>967</v>
      </c>
      <c r="L450" s="35">
        <v>52000</v>
      </c>
    </row>
    <row r="451" spans="1:12" hidden="1" x14ac:dyDescent="0.25">
      <c r="A451">
        <v>0</v>
      </c>
      <c r="B451" t="s">
        <v>244</v>
      </c>
      <c r="C451" s="18">
        <v>45658</v>
      </c>
      <c r="D451" t="str">
        <f>"8161"</f>
        <v>8161</v>
      </c>
      <c r="E451" s="18">
        <v>45115</v>
      </c>
      <c r="F451" t="str">
        <f>"13383"</f>
        <v>13383</v>
      </c>
      <c r="G451" t="s">
        <v>247</v>
      </c>
      <c r="H451" t="s">
        <v>968</v>
      </c>
      <c r="L451" s="35">
        <v>262432</v>
      </c>
    </row>
    <row r="452" spans="1:12" hidden="1" x14ac:dyDescent="0.25">
      <c r="A452">
        <v>0</v>
      </c>
      <c r="B452" t="s">
        <v>244</v>
      </c>
      <c r="C452" s="18">
        <v>45658</v>
      </c>
      <c r="D452" t="str">
        <f>"8162"</f>
        <v>8162</v>
      </c>
      <c r="E452" s="18">
        <v>45129</v>
      </c>
      <c r="F452" t="str">
        <f>"0022845"</f>
        <v>0022845</v>
      </c>
      <c r="G452" t="s">
        <v>247</v>
      </c>
      <c r="H452" t="s">
        <v>969</v>
      </c>
      <c r="L452" s="35">
        <v>183196</v>
      </c>
    </row>
    <row r="453" spans="1:12" hidden="1" x14ac:dyDescent="0.25">
      <c r="A453">
        <v>0</v>
      </c>
      <c r="B453" t="s">
        <v>244</v>
      </c>
      <c r="C453" s="18">
        <v>45658</v>
      </c>
      <c r="D453" t="str">
        <f>"8163"</f>
        <v>8163</v>
      </c>
      <c r="E453" s="18">
        <v>45129</v>
      </c>
      <c r="F453" t="s">
        <v>970</v>
      </c>
      <c r="G453" t="s">
        <v>247</v>
      </c>
      <c r="H453" t="s">
        <v>971</v>
      </c>
      <c r="L453" s="35">
        <v>726480</v>
      </c>
    </row>
    <row r="454" spans="1:12" hidden="1" x14ac:dyDescent="0.25">
      <c r="A454">
        <v>0</v>
      </c>
      <c r="B454" t="s">
        <v>244</v>
      </c>
      <c r="C454" s="18">
        <v>45658</v>
      </c>
      <c r="D454" t="str">
        <f>"8164"</f>
        <v>8164</v>
      </c>
      <c r="E454" s="18">
        <v>45129</v>
      </c>
      <c r="F454" t="s">
        <v>972</v>
      </c>
      <c r="G454" t="s">
        <v>247</v>
      </c>
      <c r="H454" t="s">
        <v>973</v>
      </c>
      <c r="L454" s="35">
        <v>771280</v>
      </c>
    </row>
    <row r="455" spans="1:12" hidden="1" x14ac:dyDescent="0.25">
      <c r="A455">
        <v>0</v>
      </c>
      <c r="B455" t="s">
        <v>244</v>
      </c>
      <c r="C455" s="18">
        <v>45658</v>
      </c>
      <c r="D455" t="str">
        <f>"8165"</f>
        <v>8165</v>
      </c>
      <c r="E455" s="18">
        <v>45129</v>
      </c>
      <c r="F455" t="s">
        <v>974</v>
      </c>
      <c r="G455" t="s">
        <v>247</v>
      </c>
      <c r="H455" t="s">
        <v>975</v>
      </c>
      <c r="L455" s="35">
        <v>282800</v>
      </c>
    </row>
    <row r="456" spans="1:12" hidden="1" x14ac:dyDescent="0.25">
      <c r="A456">
        <v>0</v>
      </c>
      <c r="B456" t="s">
        <v>244</v>
      </c>
      <c r="C456" s="18">
        <v>45658</v>
      </c>
      <c r="D456" t="str">
        <f>"8166"</f>
        <v>8166</v>
      </c>
      <c r="E456" s="18">
        <v>45129</v>
      </c>
      <c r="F456" t="str">
        <f>"274964"</f>
        <v>274964</v>
      </c>
      <c r="G456" t="s">
        <v>247</v>
      </c>
      <c r="H456" t="s">
        <v>976</v>
      </c>
      <c r="L456" s="35">
        <v>75760</v>
      </c>
    </row>
    <row r="457" spans="1:12" hidden="1" x14ac:dyDescent="0.25">
      <c r="A457">
        <v>0</v>
      </c>
      <c r="B457" t="s">
        <v>244</v>
      </c>
      <c r="C457" s="18">
        <v>45658</v>
      </c>
      <c r="D457" t="str">
        <f>"8167"</f>
        <v>8167</v>
      </c>
      <c r="E457" s="18">
        <v>45129</v>
      </c>
      <c r="F457" t="s">
        <v>977</v>
      </c>
      <c r="G457" t="s">
        <v>247</v>
      </c>
      <c r="H457" t="s">
        <v>978</v>
      </c>
      <c r="L457" s="35">
        <v>131600</v>
      </c>
    </row>
    <row r="458" spans="1:12" hidden="1" x14ac:dyDescent="0.25">
      <c r="A458">
        <v>0</v>
      </c>
      <c r="B458" t="s">
        <v>244</v>
      </c>
      <c r="C458" s="18">
        <v>45658</v>
      </c>
      <c r="D458" t="str">
        <f>"8168"</f>
        <v>8168</v>
      </c>
      <c r="E458" s="18">
        <v>45136</v>
      </c>
      <c r="F458" t="str">
        <f>"13"</f>
        <v>13</v>
      </c>
      <c r="G458" t="s">
        <v>247</v>
      </c>
      <c r="H458" t="s">
        <v>979</v>
      </c>
      <c r="L458" s="35">
        <v>20000</v>
      </c>
    </row>
    <row r="459" spans="1:12" hidden="1" x14ac:dyDescent="0.25">
      <c r="A459">
        <v>0</v>
      </c>
      <c r="B459" t="s">
        <v>244</v>
      </c>
      <c r="C459" s="18">
        <v>45658</v>
      </c>
      <c r="D459" t="str">
        <f>"8169"</f>
        <v>8169</v>
      </c>
      <c r="E459" s="18">
        <v>45108</v>
      </c>
      <c r="F459" t="s">
        <v>980</v>
      </c>
      <c r="G459" t="s">
        <v>247</v>
      </c>
      <c r="H459" t="s">
        <v>981</v>
      </c>
      <c r="L459" s="35">
        <v>42640</v>
      </c>
    </row>
    <row r="460" spans="1:12" hidden="1" x14ac:dyDescent="0.25">
      <c r="A460">
        <v>0</v>
      </c>
      <c r="B460" t="s">
        <v>244</v>
      </c>
      <c r="C460" s="18">
        <v>45658</v>
      </c>
      <c r="D460" t="str">
        <f>"8170"</f>
        <v>8170</v>
      </c>
      <c r="E460" s="18">
        <v>45108</v>
      </c>
      <c r="F460" t="s">
        <v>982</v>
      </c>
      <c r="G460" t="s">
        <v>247</v>
      </c>
      <c r="H460" t="s">
        <v>983</v>
      </c>
      <c r="L460" s="35">
        <v>453040</v>
      </c>
    </row>
    <row r="461" spans="1:12" hidden="1" x14ac:dyDescent="0.25">
      <c r="A461">
        <v>0</v>
      </c>
      <c r="B461" t="s">
        <v>244</v>
      </c>
      <c r="C461" s="18">
        <v>45658</v>
      </c>
      <c r="D461" t="str">
        <f>"8171"</f>
        <v>8171</v>
      </c>
      <c r="E461" s="18">
        <v>45115</v>
      </c>
      <c r="F461" t="str">
        <f>"150423"</f>
        <v>150423</v>
      </c>
      <c r="G461" t="s">
        <v>247</v>
      </c>
      <c r="H461" t="s">
        <v>984</v>
      </c>
      <c r="L461" s="35">
        <v>28000</v>
      </c>
    </row>
    <row r="462" spans="1:12" hidden="1" x14ac:dyDescent="0.25">
      <c r="A462">
        <v>0</v>
      </c>
      <c r="B462" t="s">
        <v>244</v>
      </c>
      <c r="C462" s="18">
        <v>45658</v>
      </c>
      <c r="D462" t="str">
        <f>"8172"</f>
        <v>8172</v>
      </c>
      <c r="E462" t="str">
        <f>"00013027"</f>
        <v>00013027</v>
      </c>
      <c r="G462" t="s">
        <v>247</v>
      </c>
      <c r="H462" t="s">
        <v>985</v>
      </c>
      <c r="L462" s="35">
        <v>16185147.039999999</v>
      </c>
    </row>
    <row r="463" spans="1:12" hidden="1" x14ac:dyDescent="0.25">
      <c r="A463">
        <v>0</v>
      </c>
      <c r="B463" t="s">
        <v>244</v>
      </c>
      <c r="C463" s="18">
        <v>45658</v>
      </c>
      <c r="D463" t="str">
        <f>"8173"</f>
        <v>8173</v>
      </c>
      <c r="E463" s="18">
        <v>45164</v>
      </c>
      <c r="F463" t="str">
        <f>"004204"</f>
        <v>004204</v>
      </c>
      <c r="G463" t="s">
        <v>247</v>
      </c>
      <c r="H463" t="s">
        <v>986</v>
      </c>
      <c r="L463" s="35">
        <v>84480</v>
      </c>
    </row>
    <row r="464" spans="1:12" hidden="1" x14ac:dyDescent="0.25">
      <c r="A464">
        <v>0</v>
      </c>
      <c r="B464" t="s">
        <v>244</v>
      </c>
      <c r="C464" s="18">
        <v>45658</v>
      </c>
      <c r="D464" t="str">
        <f>"8174"</f>
        <v>8174</v>
      </c>
      <c r="E464" s="18">
        <v>45149</v>
      </c>
      <c r="F464" t="s">
        <v>987</v>
      </c>
      <c r="G464" t="s">
        <v>247</v>
      </c>
      <c r="H464" t="s">
        <v>988</v>
      </c>
      <c r="L464" s="35">
        <v>599440</v>
      </c>
    </row>
    <row r="465" spans="1:12" hidden="1" x14ac:dyDescent="0.25">
      <c r="A465">
        <v>0</v>
      </c>
      <c r="B465" t="s">
        <v>244</v>
      </c>
      <c r="C465" s="18">
        <v>45658</v>
      </c>
      <c r="D465" t="str">
        <f>"8175"</f>
        <v>8175</v>
      </c>
      <c r="E465" s="18">
        <v>45149</v>
      </c>
      <c r="F465" s="18">
        <v>45110</v>
      </c>
      <c r="G465" t="s">
        <v>247</v>
      </c>
      <c r="H465" t="s">
        <v>989</v>
      </c>
      <c r="L465" s="35">
        <v>29840</v>
      </c>
    </row>
    <row r="466" spans="1:12" hidden="1" x14ac:dyDescent="0.25">
      <c r="A466">
        <v>0</v>
      </c>
      <c r="B466" t="s">
        <v>244</v>
      </c>
      <c r="C466" s="18">
        <v>45658</v>
      </c>
      <c r="D466" t="str">
        <f>"8176"</f>
        <v>8176</v>
      </c>
      <c r="E466" s="18">
        <v>45149</v>
      </c>
      <c r="F466" t="s">
        <v>990</v>
      </c>
      <c r="G466" t="s">
        <v>247</v>
      </c>
      <c r="H466" t="s">
        <v>991</v>
      </c>
      <c r="L466" s="35">
        <v>170000</v>
      </c>
    </row>
    <row r="467" spans="1:12" hidden="1" x14ac:dyDescent="0.25">
      <c r="A467">
        <v>0</v>
      </c>
      <c r="B467" t="s">
        <v>244</v>
      </c>
      <c r="C467" s="18">
        <v>45658</v>
      </c>
      <c r="D467" t="str">
        <f>"8177"</f>
        <v>8177</v>
      </c>
      <c r="E467" s="18">
        <v>45149</v>
      </c>
      <c r="F467" t="str">
        <f>"241086"</f>
        <v>241086</v>
      </c>
      <c r="G467" t="s">
        <v>247</v>
      </c>
      <c r="H467" t="s">
        <v>992</v>
      </c>
      <c r="L467" s="35">
        <v>46480</v>
      </c>
    </row>
    <row r="468" spans="1:12" hidden="1" x14ac:dyDescent="0.25">
      <c r="A468">
        <v>0</v>
      </c>
      <c r="B468" t="s">
        <v>244</v>
      </c>
      <c r="C468" s="18">
        <v>45658</v>
      </c>
      <c r="D468" t="str">
        <f>"8178"</f>
        <v>8178</v>
      </c>
      <c r="E468" s="18">
        <v>45149</v>
      </c>
      <c r="F468" t="s">
        <v>993</v>
      </c>
      <c r="G468" t="s">
        <v>247</v>
      </c>
      <c r="H468" t="s">
        <v>994</v>
      </c>
      <c r="L468" s="35">
        <v>20800</v>
      </c>
    </row>
    <row r="469" spans="1:12" hidden="1" x14ac:dyDescent="0.25">
      <c r="A469">
        <v>0</v>
      </c>
      <c r="B469" t="s">
        <v>244</v>
      </c>
      <c r="C469" s="18">
        <v>45658</v>
      </c>
      <c r="D469" t="str">
        <f>"8179"</f>
        <v>8179</v>
      </c>
      <c r="E469" s="18">
        <v>45154</v>
      </c>
      <c r="F469" t="s">
        <v>995</v>
      </c>
      <c r="G469" t="s">
        <v>247</v>
      </c>
      <c r="H469" t="s">
        <v>996</v>
      </c>
      <c r="L469" s="35">
        <v>47760</v>
      </c>
    </row>
    <row r="470" spans="1:12" hidden="1" x14ac:dyDescent="0.25">
      <c r="A470">
        <v>0</v>
      </c>
      <c r="B470" t="s">
        <v>244</v>
      </c>
      <c r="C470" s="18">
        <v>45658</v>
      </c>
      <c r="D470" t="str">
        <f>"8180"</f>
        <v>8180</v>
      </c>
      <c r="E470" s="18">
        <v>45154</v>
      </c>
      <c r="F470" t="str">
        <f>"0023109"</f>
        <v>0023109</v>
      </c>
      <c r="G470" t="s">
        <v>247</v>
      </c>
      <c r="H470" t="s">
        <v>997</v>
      </c>
      <c r="L470" s="35">
        <v>20000</v>
      </c>
    </row>
    <row r="471" spans="1:12" hidden="1" x14ac:dyDescent="0.25">
      <c r="A471">
        <v>0</v>
      </c>
      <c r="B471" t="s">
        <v>244</v>
      </c>
      <c r="C471" s="18">
        <v>45658</v>
      </c>
      <c r="D471" t="str">
        <f>"8181"</f>
        <v>8181</v>
      </c>
      <c r="E471" s="18">
        <v>45164</v>
      </c>
      <c r="F471" t="s">
        <v>998</v>
      </c>
      <c r="G471" t="s">
        <v>247</v>
      </c>
      <c r="H471" t="s">
        <v>999</v>
      </c>
      <c r="L471" s="35">
        <v>409680</v>
      </c>
    </row>
    <row r="472" spans="1:12" hidden="1" x14ac:dyDescent="0.25">
      <c r="A472">
        <v>0</v>
      </c>
      <c r="B472" t="s">
        <v>244</v>
      </c>
      <c r="C472" s="18">
        <v>45658</v>
      </c>
      <c r="D472" t="str">
        <f>"8182"</f>
        <v>8182</v>
      </c>
      <c r="E472" s="18">
        <v>45164</v>
      </c>
      <c r="F472" t="s">
        <v>1000</v>
      </c>
      <c r="G472" t="s">
        <v>247</v>
      </c>
      <c r="H472" t="s">
        <v>1001</v>
      </c>
      <c r="L472" s="35">
        <v>352740</v>
      </c>
    </row>
    <row r="473" spans="1:12" hidden="1" x14ac:dyDescent="0.25">
      <c r="A473">
        <v>0</v>
      </c>
      <c r="B473" t="s">
        <v>244</v>
      </c>
      <c r="C473" s="18">
        <v>45658</v>
      </c>
      <c r="D473" t="str">
        <f>"8183"</f>
        <v>8183</v>
      </c>
      <c r="E473" s="18">
        <v>45164</v>
      </c>
      <c r="F473" t="s">
        <v>1002</v>
      </c>
      <c r="G473" t="s">
        <v>247</v>
      </c>
      <c r="H473" t="s">
        <v>1003</v>
      </c>
      <c r="L473" s="35">
        <v>288000</v>
      </c>
    </row>
    <row r="474" spans="1:12" hidden="1" x14ac:dyDescent="0.25">
      <c r="A474">
        <v>0</v>
      </c>
      <c r="B474" t="s">
        <v>244</v>
      </c>
      <c r="C474" s="18">
        <v>45658</v>
      </c>
      <c r="D474" t="str">
        <f>"8184"</f>
        <v>8184</v>
      </c>
      <c r="E474" s="18">
        <v>45164</v>
      </c>
      <c r="F474" t="s">
        <v>1004</v>
      </c>
      <c r="G474" t="s">
        <v>247</v>
      </c>
      <c r="H474" t="s">
        <v>1005</v>
      </c>
      <c r="L474" s="35">
        <v>48000</v>
      </c>
    </row>
    <row r="475" spans="1:12" hidden="1" x14ac:dyDescent="0.25">
      <c r="A475">
        <v>0</v>
      </c>
      <c r="B475" t="s">
        <v>244</v>
      </c>
      <c r="C475" s="18">
        <v>45658</v>
      </c>
      <c r="D475" t="str">
        <f>"8185"</f>
        <v>8185</v>
      </c>
      <c r="E475" s="18">
        <v>45163</v>
      </c>
      <c r="F475" t="str">
        <f>"231220"</f>
        <v>231220</v>
      </c>
      <c r="G475" t="s">
        <v>247</v>
      </c>
      <c r="H475" t="s">
        <v>1006</v>
      </c>
      <c r="L475" s="35">
        <v>14480</v>
      </c>
    </row>
    <row r="476" spans="1:12" hidden="1" x14ac:dyDescent="0.25">
      <c r="A476">
        <v>0</v>
      </c>
      <c r="B476" t="s">
        <v>244</v>
      </c>
      <c r="C476" s="18">
        <v>45658</v>
      </c>
      <c r="D476" t="str">
        <f>"8186"</f>
        <v>8186</v>
      </c>
      <c r="E476" s="18">
        <v>45150</v>
      </c>
      <c r="F476" t="str">
        <f>"0023194"</f>
        <v>0023194</v>
      </c>
      <c r="G476" t="s">
        <v>247</v>
      </c>
      <c r="H476" t="s">
        <v>1007</v>
      </c>
      <c r="L476" s="35">
        <v>288864</v>
      </c>
    </row>
    <row r="477" spans="1:12" hidden="1" x14ac:dyDescent="0.25">
      <c r="A477">
        <v>0</v>
      </c>
      <c r="B477" t="s">
        <v>244</v>
      </c>
      <c r="C477" s="18">
        <v>45658</v>
      </c>
      <c r="D477" t="str">
        <f>"8187"</f>
        <v>8187</v>
      </c>
      <c r="E477" s="18">
        <v>45150</v>
      </c>
      <c r="F477" t="str">
        <f>"327392"</f>
        <v>327392</v>
      </c>
      <c r="G477" t="s">
        <v>247</v>
      </c>
      <c r="H477" t="s">
        <v>1008</v>
      </c>
      <c r="L477" s="35">
        <v>440000</v>
      </c>
    </row>
    <row r="478" spans="1:12" hidden="1" x14ac:dyDescent="0.25">
      <c r="A478">
        <v>0</v>
      </c>
      <c r="B478" t="s">
        <v>244</v>
      </c>
      <c r="C478" s="18">
        <v>45658</v>
      </c>
      <c r="D478" t="str">
        <f>"8188"</f>
        <v>8188</v>
      </c>
      <c r="E478" s="18">
        <v>45150</v>
      </c>
      <c r="F478" t="str">
        <f>"0772"</f>
        <v>0772</v>
      </c>
      <c r="G478" t="s">
        <v>247</v>
      </c>
      <c r="H478" t="s">
        <v>1009</v>
      </c>
      <c r="L478" s="35">
        <v>320000</v>
      </c>
    </row>
    <row r="479" spans="1:12" hidden="1" x14ac:dyDescent="0.25">
      <c r="A479">
        <v>0</v>
      </c>
      <c r="B479" t="s">
        <v>244</v>
      </c>
      <c r="C479" s="18">
        <v>45658</v>
      </c>
      <c r="D479" t="str">
        <f>"8189"</f>
        <v>8189</v>
      </c>
      <c r="E479" s="18">
        <v>45140</v>
      </c>
      <c r="F479" t="s">
        <v>1010</v>
      </c>
      <c r="G479" t="s">
        <v>247</v>
      </c>
      <c r="H479" t="s">
        <v>1011</v>
      </c>
      <c r="L479" s="35">
        <v>103200</v>
      </c>
    </row>
    <row r="480" spans="1:12" hidden="1" x14ac:dyDescent="0.25">
      <c r="A480">
        <v>0</v>
      </c>
      <c r="B480" t="s">
        <v>244</v>
      </c>
      <c r="C480" s="18">
        <v>45658</v>
      </c>
      <c r="D480" t="str">
        <f>"8190"</f>
        <v>8190</v>
      </c>
      <c r="E480" s="18">
        <v>45184</v>
      </c>
      <c r="F480" t="str">
        <f>"13923"</f>
        <v>13923</v>
      </c>
      <c r="G480" t="s">
        <v>247</v>
      </c>
      <c r="H480" t="s">
        <v>1012</v>
      </c>
      <c r="L480" s="35">
        <v>362720</v>
      </c>
    </row>
    <row r="481" spans="1:12" hidden="1" x14ac:dyDescent="0.25">
      <c r="A481">
        <v>0</v>
      </c>
      <c r="B481" t="s">
        <v>244</v>
      </c>
      <c r="C481" s="18">
        <v>45658</v>
      </c>
      <c r="D481" t="str">
        <f>"8191"</f>
        <v>8191</v>
      </c>
      <c r="E481" s="18">
        <v>45170</v>
      </c>
      <c r="F481" t="s">
        <v>1013</v>
      </c>
      <c r="G481" t="s">
        <v>247</v>
      </c>
      <c r="H481" t="s">
        <v>1014</v>
      </c>
      <c r="L481" s="35">
        <v>65120</v>
      </c>
    </row>
    <row r="482" spans="1:12" hidden="1" x14ac:dyDescent="0.25">
      <c r="A482">
        <v>0</v>
      </c>
      <c r="B482" t="s">
        <v>244</v>
      </c>
      <c r="C482" s="18">
        <v>45658</v>
      </c>
      <c r="D482" t="str">
        <f>"8192"</f>
        <v>8192</v>
      </c>
      <c r="E482" s="18">
        <v>45170</v>
      </c>
      <c r="F482" t="s">
        <v>1015</v>
      </c>
      <c r="G482" t="s">
        <v>247</v>
      </c>
      <c r="H482" t="s">
        <v>1016</v>
      </c>
      <c r="L482" s="35">
        <v>32000</v>
      </c>
    </row>
    <row r="483" spans="1:12" hidden="1" x14ac:dyDescent="0.25">
      <c r="A483">
        <v>0</v>
      </c>
      <c r="B483" t="s">
        <v>244</v>
      </c>
      <c r="C483" s="18">
        <v>45658</v>
      </c>
      <c r="D483" t="str">
        <f>"8193"</f>
        <v>8193</v>
      </c>
      <c r="E483" s="18">
        <v>45177</v>
      </c>
      <c r="F483" t="s">
        <v>1017</v>
      </c>
      <c r="G483" t="s">
        <v>247</v>
      </c>
      <c r="H483" t="s">
        <v>1018</v>
      </c>
      <c r="L483" s="35">
        <v>28880</v>
      </c>
    </row>
    <row r="484" spans="1:12" hidden="1" x14ac:dyDescent="0.25">
      <c r="A484">
        <v>0</v>
      </c>
      <c r="B484" t="s">
        <v>244</v>
      </c>
      <c r="C484" s="18">
        <v>45658</v>
      </c>
      <c r="D484" t="str">
        <f>"8194"</f>
        <v>8194</v>
      </c>
      <c r="E484" s="18">
        <v>45177</v>
      </c>
      <c r="F484" t="s">
        <v>1019</v>
      </c>
      <c r="G484" t="s">
        <v>247</v>
      </c>
      <c r="H484" t="s">
        <v>1020</v>
      </c>
      <c r="L484" s="35">
        <v>39040</v>
      </c>
    </row>
    <row r="485" spans="1:12" x14ac:dyDescent="0.25">
      <c r="A485">
        <v>0</v>
      </c>
      <c r="B485" t="s">
        <v>407</v>
      </c>
      <c r="C485" s="18">
        <v>45867</v>
      </c>
      <c r="D485" t="str">
        <f>"8194"</f>
        <v>8194</v>
      </c>
      <c r="E485" s="18">
        <v>45867</v>
      </c>
      <c r="F485" t="str">
        <f>"24955"</f>
        <v>24955</v>
      </c>
      <c r="G485" t="s">
        <v>247</v>
      </c>
      <c r="H485" t="s">
        <v>1021</v>
      </c>
      <c r="L485" s="35">
        <v>400</v>
      </c>
    </row>
    <row r="486" spans="1:12" hidden="1" x14ac:dyDescent="0.25">
      <c r="A486">
        <v>0</v>
      </c>
      <c r="B486" t="s">
        <v>244</v>
      </c>
      <c r="C486" s="18">
        <v>45658</v>
      </c>
      <c r="D486" t="str">
        <f>"8195"</f>
        <v>8195</v>
      </c>
      <c r="E486" s="18">
        <v>45192</v>
      </c>
      <c r="F486" t="str">
        <f>"13976"</f>
        <v>13976</v>
      </c>
      <c r="G486" t="s">
        <v>247</v>
      </c>
      <c r="H486" t="s">
        <v>1022</v>
      </c>
      <c r="L486" s="35">
        <v>200000</v>
      </c>
    </row>
    <row r="487" spans="1:12" hidden="1" x14ac:dyDescent="0.25">
      <c r="A487">
        <v>0</v>
      </c>
      <c r="B487" t="s">
        <v>244</v>
      </c>
      <c r="C487" s="18">
        <v>45658</v>
      </c>
      <c r="D487" t="str">
        <f>"8196"</f>
        <v>8196</v>
      </c>
      <c r="E487" s="18">
        <v>45191</v>
      </c>
      <c r="F487" t="str">
        <f>"13953"</f>
        <v>13953</v>
      </c>
      <c r="G487" t="s">
        <v>247</v>
      </c>
      <c r="H487" t="s">
        <v>1023</v>
      </c>
      <c r="L487" s="35">
        <v>48000</v>
      </c>
    </row>
    <row r="488" spans="1:12" hidden="1" x14ac:dyDescent="0.25">
      <c r="A488">
        <v>0</v>
      </c>
      <c r="B488" t="s">
        <v>244</v>
      </c>
      <c r="C488" s="18">
        <v>45658</v>
      </c>
      <c r="D488" t="str">
        <f>"8197"</f>
        <v>8197</v>
      </c>
      <c r="E488" s="18">
        <v>45191</v>
      </c>
      <c r="F488" t="str">
        <f>"13954"</f>
        <v>13954</v>
      </c>
      <c r="G488" t="s">
        <v>247</v>
      </c>
      <c r="H488" t="s">
        <v>1024</v>
      </c>
      <c r="L488" s="35">
        <v>628850</v>
      </c>
    </row>
    <row r="489" spans="1:12" hidden="1" x14ac:dyDescent="0.25">
      <c r="A489">
        <v>0</v>
      </c>
      <c r="B489" t="s">
        <v>244</v>
      </c>
      <c r="C489" s="18">
        <v>45658</v>
      </c>
      <c r="D489" t="str">
        <f>"8198"</f>
        <v>8198</v>
      </c>
      <c r="E489" s="18">
        <v>45184</v>
      </c>
      <c r="F489" t="str">
        <f>"241944"</f>
        <v>241944</v>
      </c>
      <c r="G489" t="s">
        <v>247</v>
      </c>
      <c r="H489" t="s">
        <v>1025</v>
      </c>
      <c r="L489" s="35">
        <v>69360</v>
      </c>
    </row>
    <row r="490" spans="1:12" hidden="1" x14ac:dyDescent="0.25">
      <c r="A490">
        <v>0</v>
      </c>
      <c r="B490" t="s">
        <v>244</v>
      </c>
      <c r="C490" s="18">
        <v>45658</v>
      </c>
      <c r="D490" t="str">
        <f>"8199"</f>
        <v>8199</v>
      </c>
      <c r="E490" s="18">
        <v>45191</v>
      </c>
      <c r="F490" t="s">
        <v>1026</v>
      </c>
      <c r="G490" t="s">
        <v>247</v>
      </c>
      <c r="H490" t="s">
        <v>1027</v>
      </c>
      <c r="L490" s="35">
        <v>32800</v>
      </c>
    </row>
    <row r="491" spans="1:12" hidden="1" x14ac:dyDescent="0.25">
      <c r="A491">
        <v>0</v>
      </c>
      <c r="B491" t="s">
        <v>244</v>
      </c>
      <c r="C491" s="18">
        <v>45658</v>
      </c>
      <c r="D491" t="str">
        <f>"8200"</f>
        <v>8200</v>
      </c>
      <c r="E491" s="18">
        <v>45183</v>
      </c>
      <c r="F491" t="s">
        <v>1028</v>
      </c>
      <c r="G491" t="s">
        <v>247</v>
      </c>
      <c r="H491" t="s">
        <v>1029</v>
      </c>
      <c r="L491" s="35">
        <v>50000</v>
      </c>
    </row>
    <row r="492" spans="1:12" hidden="1" x14ac:dyDescent="0.25">
      <c r="A492">
        <v>0</v>
      </c>
      <c r="B492" t="s">
        <v>244</v>
      </c>
      <c r="C492" s="18">
        <v>45658</v>
      </c>
      <c r="D492" t="str">
        <f>"8201"</f>
        <v>8201</v>
      </c>
      <c r="E492" s="18">
        <v>45183</v>
      </c>
      <c r="F492" t="s">
        <v>1030</v>
      </c>
      <c r="G492" t="s">
        <v>247</v>
      </c>
      <c r="H492" t="s">
        <v>1031</v>
      </c>
      <c r="L492" s="35">
        <v>52800</v>
      </c>
    </row>
    <row r="493" spans="1:12" hidden="1" x14ac:dyDescent="0.25">
      <c r="A493">
        <v>0</v>
      </c>
      <c r="B493" t="s">
        <v>244</v>
      </c>
      <c r="C493" s="18">
        <v>45658</v>
      </c>
      <c r="D493" t="str">
        <f>"8202"</f>
        <v>8202</v>
      </c>
      <c r="E493" s="18">
        <v>45183</v>
      </c>
      <c r="F493" t="s">
        <v>1032</v>
      </c>
      <c r="G493" t="s">
        <v>247</v>
      </c>
      <c r="H493" t="s">
        <v>1033</v>
      </c>
      <c r="L493" s="35">
        <v>32000</v>
      </c>
    </row>
    <row r="494" spans="1:12" hidden="1" x14ac:dyDescent="0.25">
      <c r="A494">
        <v>0</v>
      </c>
      <c r="B494" t="s">
        <v>244</v>
      </c>
      <c r="C494" s="18">
        <v>45658</v>
      </c>
      <c r="D494" t="str">
        <f>"8203"</f>
        <v>8203</v>
      </c>
      <c r="E494" s="18">
        <v>45171</v>
      </c>
      <c r="F494" t="s">
        <v>1034</v>
      </c>
      <c r="G494" t="s">
        <v>247</v>
      </c>
      <c r="H494" t="s">
        <v>1035</v>
      </c>
      <c r="L494" s="35">
        <v>20800</v>
      </c>
    </row>
    <row r="495" spans="1:12" hidden="1" x14ac:dyDescent="0.25">
      <c r="A495">
        <v>0</v>
      </c>
      <c r="B495" t="s">
        <v>244</v>
      </c>
      <c r="C495" s="18">
        <v>45658</v>
      </c>
      <c r="D495" t="str">
        <f>"8204"</f>
        <v>8204</v>
      </c>
      <c r="E495" s="18">
        <v>45171</v>
      </c>
      <c r="F495" t="s">
        <v>1036</v>
      </c>
      <c r="G495" t="s">
        <v>247</v>
      </c>
      <c r="H495" t="s">
        <v>1037</v>
      </c>
      <c r="L495" s="35">
        <v>1360000</v>
      </c>
    </row>
    <row r="496" spans="1:12" hidden="1" x14ac:dyDescent="0.25">
      <c r="A496">
        <v>0</v>
      </c>
      <c r="B496" t="s">
        <v>244</v>
      </c>
      <c r="C496" s="18">
        <v>45658</v>
      </c>
      <c r="D496" t="str">
        <f>"8205"</f>
        <v>8205</v>
      </c>
      <c r="E496" s="18">
        <v>45171</v>
      </c>
      <c r="F496" t="s">
        <v>1038</v>
      </c>
      <c r="G496" t="s">
        <v>247</v>
      </c>
      <c r="H496" t="s">
        <v>1039</v>
      </c>
      <c r="L496" s="35">
        <v>28880</v>
      </c>
    </row>
    <row r="497" spans="1:12" hidden="1" x14ac:dyDescent="0.25">
      <c r="A497">
        <v>0</v>
      </c>
      <c r="B497" t="s">
        <v>244</v>
      </c>
      <c r="C497" s="18">
        <v>45658</v>
      </c>
      <c r="D497" t="str">
        <f>"8206"</f>
        <v>8206</v>
      </c>
      <c r="E497" s="18">
        <v>45191</v>
      </c>
      <c r="F497" t="s">
        <v>1040</v>
      </c>
      <c r="G497" t="s">
        <v>247</v>
      </c>
      <c r="H497" t="s">
        <v>1041</v>
      </c>
      <c r="L497" s="35">
        <v>107680</v>
      </c>
    </row>
    <row r="498" spans="1:12" hidden="1" x14ac:dyDescent="0.25">
      <c r="A498">
        <v>0</v>
      </c>
      <c r="B498" t="s">
        <v>244</v>
      </c>
      <c r="C498" s="18">
        <v>45658</v>
      </c>
      <c r="D498" t="str">
        <f>"8207"</f>
        <v>8207</v>
      </c>
      <c r="E498" s="18">
        <v>45191</v>
      </c>
      <c r="F498" s="34">
        <v>34449</v>
      </c>
      <c r="G498" t="s">
        <v>247</v>
      </c>
      <c r="H498" t="s">
        <v>1042</v>
      </c>
      <c r="L498" s="35">
        <v>112000</v>
      </c>
    </row>
    <row r="499" spans="1:12" hidden="1" x14ac:dyDescent="0.25">
      <c r="A499">
        <v>0</v>
      </c>
      <c r="B499" t="s">
        <v>244</v>
      </c>
      <c r="C499" s="18">
        <v>45658</v>
      </c>
      <c r="D499" t="str">
        <f>"8208"</f>
        <v>8208</v>
      </c>
      <c r="E499" s="18">
        <v>45198</v>
      </c>
      <c r="F499" t="str">
        <f>"327752"</f>
        <v>327752</v>
      </c>
      <c r="G499" t="s">
        <v>247</v>
      </c>
      <c r="H499" t="s">
        <v>1043</v>
      </c>
      <c r="L499" s="35">
        <v>600000</v>
      </c>
    </row>
    <row r="500" spans="1:12" hidden="1" x14ac:dyDescent="0.25">
      <c r="A500">
        <v>0</v>
      </c>
      <c r="B500" t="s">
        <v>244</v>
      </c>
      <c r="C500" s="18">
        <v>45658</v>
      </c>
      <c r="D500" t="str">
        <f>"8209"</f>
        <v>8209</v>
      </c>
      <c r="E500" s="18">
        <v>45176</v>
      </c>
      <c r="F500" t="s">
        <v>1044</v>
      </c>
      <c r="G500" t="s">
        <v>247</v>
      </c>
      <c r="H500" t="s">
        <v>1045</v>
      </c>
      <c r="L500" s="35">
        <v>28000</v>
      </c>
    </row>
    <row r="501" spans="1:12" hidden="1" x14ac:dyDescent="0.25">
      <c r="A501">
        <v>0</v>
      </c>
      <c r="B501" t="s">
        <v>244</v>
      </c>
      <c r="C501" s="18">
        <v>45658</v>
      </c>
      <c r="D501" t="str">
        <f>"8210"</f>
        <v>8210</v>
      </c>
      <c r="E501" s="18">
        <v>45205</v>
      </c>
      <c r="F501" t="str">
        <f>"080923"</f>
        <v>080923</v>
      </c>
      <c r="G501" t="s">
        <v>247</v>
      </c>
      <c r="H501" t="s">
        <v>1046</v>
      </c>
      <c r="L501" s="35">
        <v>64000</v>
      </c>
    </row>
    <row r="502" spans="1:12" hidden="1" x14ac:dyDescent="0.25">
      <c r="A502">
        <v>0</v>
      </c>
      <c r="B502" t="s">
        <v>244</v>
      </c>
      <c r="C502" s="18">
        <v>45658</v>
      </c>
      <c r="D502" t="str">
        <f>"8211"</f>
        <v>8211</v>
      </c>
      <c r="E502" s="18">
        <v>45205</v>
      </c>
      <c r="F502" t="s">
        <v>1047</v>
      </c>
      <c r="G502" t="s">
        <v>247</v>
      </c>
      <c r="H502" t="s">
        <v>1048</v>
      </c>
      <c r="L502" s="35">
        <v>84000</v>
      </c>
    </row>
    <row r="503" spans="1:12" hidden="1" x14ac:dyDescent="0.25">
      <c r="A503">
        <v>0</v>
      </c>
      <c r="B503" t="s">
        <v>244</v>
      </c>
      <c r="C503" s="18">
        <v>45658</v>
      </c>
      <c r="D503" t="str">
        <f>"8212"</f>
        <v>8212</v>
      </c>
      <c r="E503" s="18">
        <v>45206</v>
      </c>
      <c r="F503" t="s">
        <v>1049</v>
      </c>
      <c r="G503" t="s">
        <v>247</v>
      </c>
      <c r="H503" t="s">
        <v>1050</v>
      </c>
      <c r="L503" s="35">
        <v>1104000</v>
      </c>
    </row>
    <row r="504" spans="1:12" hidden="1" x14ac:dyDescent="0.25">
      <c r="A504">
        <v>0</v>
      </c>
      <c r="B504" t="s">
        <v>244</v>
      </c>
      <c r="C504" s="18">
        <v>45658</v>
      </c>
      <c r="D504" t="str">
        <f>"8213"</f>
        <v>8213</v>
      </c>
      <c r="E504" s="18">
        <v>45203</v>
      </c>
      <c r="F504" t="str">
        <f>"002895"</f>
        <v>002895</v>
      </c>
      <c r="G504" t="s">
        <v>247</v>
      </c>
      <c r="H504" t="s">
        <v>1051</v>
      </c>
      <c r="L504" s="35">
        <v>288000</v>
      </c>
    </row>
    <row r="505" spans="1:12" hidden="1" x14ac:dyDescent="0.25">
      <c r="A505">
        <v>0</v>
      </c>
      <c r="B505" t="s">
        <v>244</v>
      </c>
      <c r="C505" s="18">
        <v>45658</v>
      </c>
      <c r="D505" t="str">
        <f>"8214"</f>
        <v>8214</v>
      </c>
      <c r="E505" s="18">
        <v>45205</v>
      </c>
      <c r="F505" t="s">
        <v>1052</v>
      </c>
      <c r="G505" t="s">
        <v>247</v>
      </c>
      <c r="H505" t="s">
        <v>1053</v>
      </c>
      <c r="L505" s="35">
        <v>102200</v>
      </c>
    </row>
    <row r="506" spans="1:12" hidden="1" x14ac:dyDescent="0.25">
      <c r="A506">
        <v>0</v>
      </c>
      <c r="B506" t="s">
        <v>244</v>
      </c>
      <c r="C506" s="18">
        <v>45658</v>
      </c>
      <c r="D506" t="str">
        <f>"8215"</f>
        <v>8215</v>
      </c>
      <c r="E506" s="18">
        <v>45205</v>
      </c>
      <c r="F506" t="s">
        <v>1054</v>
      </c>
      <c r="G506" t="s">
        <v>247</v>
      </c>
      <c r="H506" t="s">
        <v>1055</v>
      </c>
      <c r="L506" s="35">
        <v>648280</v>
      </c>
    </row>
    <row r="507" spans="1:12" hidden="1" x14ac:dyDescent="0.25">
      <c r="A507">
        <v>0</v>
      </c>
      <c r="B507" t="s">
        <v>244</v>
      </c>
      <c r="C507" s="18">
        <v>45658</v>
      </c>
      <c r="D507" t="str">
        <f>"8216"</f>
        <v>8216</v>
      </c>
      <c r="E507" s="18">
        <v>45206</v>
      </c>
      <c r="F507" t="s">
        <v>1056</v>
      </c>
      <c r="G507" t="s">
        <v>247</v>
      </c>
      <c r="H507" t="s">
        <v>1057</v>
      </c>
      <c r="L507" s="35">
        <v>64000</v>
      </c>
    </row>
    <row r="508" spans="1:12" hidden="1" x14ac:dyDescent="0.25">
      <c r="A508">
        <v>0</v>
      </c>
      <c r="B508" t="s">
        <v>244</v>
      </c>
      <c r="C508" s="18">
        <v>45658</v>
      </c>
      <c r="D508" t="str">
        <f>"8217"</f>
        <v>8217</v>
      </c>
      <c r="E508" s="18">
        <v>45206</v>
      </c>
      <c r="F508" t="s">
        <v>1058</v>
      </c>
      <c r="G508" t="s">
        <v>247</v>
      </c>
      <c r="H508" t="s">
        <v>1059</v>
      </c>
      <c r="L508" s="35">
        <v>810000</v>
      </c>
    </row>
    <row r="509" spans="1:12" hidden="1" x14ac:dyDescent="0.25">
      <c r="A509">
        <v>0</v>
      </c>
      <c r="B509" t="s">
        <v>244</v>
      </c>
      <c r="C509" s="18">
        <v>45658</v>
      </c>
      <c r="D509" t="str">
        <f>"8218"</f>
        <v>8218</v>
      </c>
      <c r="E509" s="18">
        <v>45212</v>
      </c>
      <c r="F509" t="s">
        <v>1060</v>
      </c>
      <c r="G509" t="s">
        <v>247</v>
      </c>
      <c r="H509" t="s">
        <v>1061</v>
      </c>
      <c r="L509" s="35">
        <v>20800</v>
      </c>
    </row>
    <row r="510" spans="1:12" hidden="1" x14ac:dyDescent="0.25">
      <c r="A510">
        <v>0</v>
      </c>
      <c r="B510" t="s">
        <v>244</v>
      </c>
      <c r="C510" s="18">
        <v>45658</v>
      </c>
      <c r="D510" t="str">
        <f>"8219"</f>
        <v>8219</v>
      </c>
      <c r="E510" s="18">
        <v>45212</v>
      </c>
      <c r="F510" t="s">
        <v>1062</v>
      </c>
      <c r="G510" t="s">
        <v>247</v>
      </c>
      <c r="H510" t="s">
        <v>1063</v>
      </c>
      <c r="L510" s="35">
        <v>29040</v>
      </c>
    </row>
    <row r="511" spans="1:12" hidden="1" x14ac:dyDescent="0.25">
      <c r="A511">
        <v>0</v>
      </c>
      <c r="B511" t="s">
        <v>244</v>
      </c>
      <c r="C511" s="18">
        <v>45658</v>
      </c>
      <c r="D511" t="str">
        <f>"8220"</f>
        <v>8220</v>
      </c>
      <c r="E511" s="18">
        <v>45212</v>
      </c>
      <c r="F511" t="s">
        <v>1064</v>
      </c>
      <c r="G511" t="s">
        <v>247</v>
      </c>
      <c r="H511" t="s">
        <v>1065</v>
      </c>
      <c r="L511" s="35">
        <v>264000</v>
      </c>
    </row>
    <row r="512" spans="1:12" hidden="1" x14ac:dyDescent="0.25">
      <c r="A512">
        <v>0</v>
      </c>
      <c r="B512" t="s">
        <v>244</v>
      </c>
      <c r="C512" s="18">
        <v>45658</v>
      </c>
      <c r="D512" t="str">
        <f>"8221"</f>
        <v>8221</v>
      </c>
      <c r="E512" s="18">
        <v>45212</v>
      </c>
      <c r="F512" t="str">
        <f>"001450"</f>
        <v>001450</v>
      </c>
      <c r="G512" t="s">
        <v>247</v>
      </c>
      <c r="H512" t="s">
        <v>1066</v>
      </c>
      <c r="L512" s="35">
        <v>321000</v>
      </c>
    </row>
    <row r="513" spans="1:12" hidden="1" x14ac:dyDescent="0.25">
      <c r="A513">
        <v>0</v>
      </c>
      <c r="B513" t="s">
        <v>244</v>
      </c>
      <c r="C513" s="18">
        <v>45658</v>
      </c>
      <c r="D513" t="str">
        <f>"8222"</f>
        <v>8222</v>
      </c>
      <c r="E513" s="18">
        <v>45212</v>
      </c>
      <c r="F513" t="s">
        <v>1067</v>
      </c>
      <c r="G513" t="s">
        <v>247</v>
      </c>
      <c r="H513" t="s">
        <v>1068</v>
      </c>
      <c r="L513" s="35">
        <v>32000</v>
      </c>
    </row>
    <row r="514" spans="1:12" hidden="1" x14ac:dyDescent="0.25">
      <c r="A514">
        <v>0</v>
      </c>
      <c r="B514" t="s">
        <v>244</v>
      </c>
      <c r="C514" s="18">
        <v>45658</v>
      </c>
      <c r="D514" t="str">
        <f>"8223"</f>
        <v>8223</v>
      </c>
      <c r="E514" s="18">
        <v>45212</v>
      </c>
      <c r="F514" t="s">
        <v>1069</v>
      </c>
      <c r="G514" t="s">
        <v>247</v>
      </c>
      <c r="H514" t="s">
        <v>1070</v>
      </c>
      <c r="L514" s="35">
        <v>64000</v>
      </c>
    </row>
    <row r="515" spans="1:12" hidden="1" x14ac:dyDescent="0.25">
      <c r="A515">
        <v>0</v>
      </c>
      <c r="B515" t="s">
        <v>244</v>
      </c>
      <c r="C515" s="18">
        <v>45658</v>
      </c>
      <c r="D515" t="str">
        <f>"8224"</f>
        <v>8224</v>
      </c>
      <c r="E515" s="18">
        <v>45212</v>
      </c>
      <c r="F515" t="s">
        <v>1071</v>
      </c>
      <c r="G515" t="s">
        <v>247</v>
      </c>
      <c r="H515" t="s">
        <v>1072</v>
      </c>
      <c r="L515" s="35">
        <v>32800</v>
      </c>
    </row>
    <row r="516" spans="1:12" hidden="1" x14ac:dyDescent="0.25">
      <c r="A516">
        <v>0</v>
      </c>
      <c r="B516" t="s">
        <v>244</v>
      </c>
      <c r="C516" s="18">
        <v>45658</v>
      </c>
      <c r="D516" t="str">
        <f>"8225"</f>
        <v>8225</v>
      </c>
      <c r="E516" s="18">
        <v>45212</v>
      </c>
      <c r="F516" t="str">
        <f>"728"</f>
        <v>728</v>
      </c>
      <c r="G516" t="s">
        <v>247</v>
      </c>
      <c r="H516" t="s">
        <v>1073</v>
      </c>
      <c r="L516" s="35">
        <v>552000</v>
      </c>
    </row>
    <row r="517" spans="1:12" hidden="1" x14ac:dyDescent="0.25">
      <c r="A517">
        <v>0</v>
      </c>
      <c r="B517" t="s">
        <v>244</v>
      </c>
      <c r="C517" s="18">
        <v>45658</v>
      </c>
      <c r="D517" t="str">
        <f>"8226"</f>
        <v>8226</v>
      </c>
      <c r="E517" s="18">
        <v>45212</v>
      </c>
      <c r="F517" t="s">
        <v>1074</v>
      </c>
      <c r="G517" t="s">
        <v>247</v>
      </c>
      <c r="H517" t="s">
        <v>1075</v>
      </c>
      <c r="L517" s="35">
        <v>480720</v>
      </c>
    </row>
    <row r="518" spans="1:12" hidden="1" x14ac:dyDescent="0.25">
      <c r="A518">
        <v>0</v>
      </c>
      <c r="B518" t="s">
        <v>244</v>
      </c>
      <c r="C518" s="18">
        <v>45658</v>
      </c>
      <c r="D518" t="str">
        <f>"8227"</f>
        <v>8227</v>
      </c>
      <c r="E518" s="18">
        <v>45212</v>
      </c>
      <c r="F518" t="s">
        <v>1076</v>
      </c>
      <c r="G518" t="s">
        <v>247</v>
      </c>
      <c r="H518" t="s">
        <v>1077</v>
      </c>
      <c r="L518" s="35">
        <v>161440</v>
      </c>
    </row>
    <row r="519" spans="1:12" hidden="1" x14ac:dyDescent="0.25">
      <c r="A519">
        <v>0</v>
      </c>
      <c r="B519" t="s">
        <v>244</v>
      </c>
      <c r="C519" s="18">
        <v>45658</v>
      </c>
      <c r="D519" t="str">
        <f>"8228"</f>
        <v>8228</v>
      </c>
      <c r="E519" s="18">
        <v>45212</v>
      </c>
      <c r="F519" t="s">
        <v>1078</v>
      </c>
      <c r="G519" t="s">
        <v>247</v>
      </c>
      <c r="H519" t="s">
        <v>1079</v>
      </c>
      <c r="L519" s="35">
        <v>59120</v>
      </c>
    </row>
    <row r="520" spans="1:12" hidden="1" x14ac:dyDescent="0.25">
      <c r="A520">
        <v>0</v>
      </c>
      <c r="B520" t="s">
        <v>244</v>
      </c>
      <c r="C520" s="18">
        <v>45658</v>
      </c>
      <c r="D520" t="str">
        <f>"8229"</f>
        <v>8229</v>
      </c>
      <c r="E520" s="18">
        <v>45212</v>
      </c>
      <c r="F520" t="s">
        <v>1080</v>
      </c>
      <c r="G520" t="s">
        <v>247</v>
      </c>
      <c r="H520" t="s">
        <v>1081</v>
      </c>
      <c r="L520" s="35">
        <v>42000</v>
      </c>
    </row>
    <row r="521" spans="1:12" hidden="1" x14ac:dyDescent="0.25">
      <c r="A521">
        <v>0</v>
      </c>
      <c r="B521" t="s">
        <v>244</v>
      </c>
      <c r="C521" s="18">
        <v>45658</v>
      </c>
      <c r="D521" t="str">
        <f>"8230"</f>
        <v>8230</v>
      </c>
      <c r="E521" s="18">
        <v>45212</v>
      </c>
      <c r="F521" t="str">
        <f>"242281"</f>
        <v>242281</v>
      </c>
      <c r="G521" t="s">
        <v>247</v>
      </c>
      <c r="H521" t="s">
        <v>1082</v>
      </c>
      <c r="L521" s="35">
        <v>143520</v>
      </c>
    </row>
    <row r="522" spans="1:12" x14ac:dyDescent="0.25">
      <c r="A522">
        <v>0</v>
      </c>
      <c r="B522" t="s">
        <v>407</v>
      </c>
      <c r="C522" s="18">
        <v>45868</v>
      </c>
      <c r="D522" t="str">
        <f>"8230"</f>
        <v>8230</v>
      </c>
      <c r="E522" s="18">
        <v>45868</v>
      </c>
      <c r="F522" t="str">
        <f>"25020"</f>
        <v>25020</v>
      </c>
      <c r="G522" t="s">
        <v>247</v>
      </c>
      <c r="H522" t="s">
        <v>615</v>
      </c>
      <c r="L522" s="35">
        <v>400</v>
      </c>
    </row>
    <row r="523" spans="1:12" hidden="1" x14ac:dyDescent="0.25">
      <c r="A523">
        <v>0</v>
      </c>
      <c r="B523" t="s">
        <v>244</v>
      </c>
      <c r="C523" s="18">
        <v>45658</v>
      </c>
      <c r="D523" t="str">
        <f>"8231"</f>
        <v>8231</v>
      </c>
      <c r="E523" s="18">
        <v>45205</v>
      </c>
      <c r="F523" t="str">
        <f>"275460"</f>
        <v>275460</v>
      </c>
      <c r="G523" t="s">
        <v>247</v>
      </c>
      <c r="H523" t="s">
        <v>1083</v>
      </c>
      <c r="L523" s="35">
        <v>116800</v>
      </c>
    </row>
    <row r="524" spans="1:12" hidden="1" x14ac:dyDescent="0.25">
      <c r="A524">
        <v>0</v>
      </c>
      <c r="B524" t="s">
        <v>244</v>
      </c>
      <c r="C524" s="18">
        <v>45658</v>
      </c>
      <c r="D524" t="str">
        <f>"8232"</f>
        <v>8232</v>
      </c>
      <c r="E524" s="18">
        <v>45205</v>
      </c>
      <c r="F524" t="str">
        <f>"2052"</f>
        <v>2052</v>
      </c>
      <c r="G524" t="s">
        <v>247</v>
      </c>
      <c r="H524" t="s">
        <v>1084</v>
      </c>
      <c r="L524" s="35">
        <v>772000</v>
      </c>
    </row>
    <row r="525" spans="1:12" hidden="1" x14ac:dyDescent="0.25">
      <c r="A525">
        <v>0</v>
      </c>
      <c r="B525" t="s">
        <v>244</v>
      </c>
      <c r="C525" s="18">
        <v>45658</v>
      </c>
      <c r="D525" t="str">
        <f>"8233"</f>
        <v>8233</v>
      </c>
      <c r="E525" s="18">
        <v>45205</v>
      </c>
      <c r="F525" t="s">
        <v>1085</v>
      </c>
      <c r="G525" t="s">
        <v>247</v>
      </c>
      <c r="H525" t="s">
        <v>1086</v>
      </c>
      <c r="L525" s="35">
        <v>296160</v>
      </c>
    </row>
    <row r="526" spans="1:12" hidden="1" x14ac:dyDescent="0.25">
      <c r="A526">
        <v>0</v>
      </c>
      <c r="B526" t="s">
        <v>244</v>
      </c>
      <c r="C526" s="18">
        <v>45658</v>
      </c>
      <c r="D526" t="str">
        <f>"8234"</f>
        <v>8234</v>
      </c>
      <c r="E526" s="18">
        <v>45220</v>
      </c>
      <c r="F526" s="18">
        <v>45141</v>
      </c>
      <c r="G526" t="s">
        <v>247</v>
      </c>
      <c r="H526" t="s">
        <v>1087</v>
      </c>
      <c r="L526" s="35">
        <v>64000</v>
      </c>
    </row>
    <row r="527" spans="1:12" hidden="1" x14ac:dyDescent="0.25">
      <c r="A527">
        <v>0</v>
      </c>
      <c r="B527" t="s">
        <v>244</v>
      </c>
      <c r="C527" s="18">
        <v>45658</v>
      </c>
      <c r="D527" t="str">
        <f>"8235"</f>
        <v>8235</v>
      </c>
      <c r="E527" s="18">
        <v>45220</v>
      </c>
      <c r="F527" t="s">
        <v>1088</v>
      </c>
      <c r="G527" t="s">
        <v>247</v>
      </c>
      <c r="H527" t="s">
        <v>1089</v>
      </c>
      <c r="L527" s="35">
        <v>96000</v>
      </c>
    </row>
    <row r="528" spans="1:12" hidden="1" x14ac:dyDescent="0.25">
      <c r="A528">
        <v>0</v>
      </c>
      <c r="B528" t="s">
        <v>244</v>
      </c>
      <c r="C528" s="18">
        <v>45658</v>
      </c>
      <c r="D528" t="str">
        <f>"8236"</f>
        <v>8236</v>
      </c>
      <c r="E528" s="18">
        <v>45206</v>
      </c>
      <c r="F528" t="str">
        <f>"544174"</f>
        <v>544174</v>
      </c>
      <c r="G528" t="s">
        <v>247</v>
      </c>
      <c r="H528" t="s">
        <v>1090</v>
      </c>
      <c r="L528" s="35">
        <v>71562</v>
      </c>
    </row>
    <row r="529" spans="1:12" hidden="1" x14ac:dyDescent="0.25">
      <c r="A529">
        <v>0</v>
      </c>
      <c r="B529" t="s">
        <v>244</v>
      </c>
      <c r="C529" s="18">
        <v>45658</v>
      </c>
      <c r="D529" t="str">
        <f>"8237"</f>
        <v>8237</v>
      </c>
      <c r="E529" s="18">
        <v>45227</v>
      </c>
      <c r="F529" t="str">
        <f>"14923"</f>
        <v>14923</v>
      </c>
      <c r="G529" t="s">
        <v>247</v>
      </c>
      <c r="H529" t="s">
        <v>1091</v>
      </c>
      <c r="L529" s="35">
        <v>80000</v>
      </c>
    </row>
    <row r="530" spans="1:12" hidden="1" x14ac:dyDescent="0.25">
      <c r="A530">
        <v>0</v>
      </c>
      <c r="B530" t="s">
        <v>244</v>
      </c>
      <c r="C530" s="18">
        <v>45658</v>
      </c>
      <c r="D530" t="str">
        <f>"8238"</f>
        <v>8238</v>
      </c>
      <c r="E530" t="str">
        <f>"00013036"</f>
        <v>00013036</v>
      </c>
      <c r="G530" t="s">
        <v>247</v>
      </c>
      <c r="H530" t="s">
        <v>1092</v>
      </c>
      <c r="L530" s="35">
        <v>17124239.530000001</v>
      </c>
    </row>
    <row r="531" spans="1:12" hidden="1" x14ac:dyDescent="0.25">
      <c r="A531">
        <v>0</v>
      </c>
      <c r="B531" t="s">
        <v>244</v>
      </c>
      <c r="C531" s="18">
        <v>45658</v>
      </c>
      <c r="D531" t="str">
        <f>"8239"</f>
        <v>8239</v>
      </c>
      <c r="E531" s="18">
        <v>45213</v>
      </c>
      <c r="F531" t="str">
        <f>"6"</f>
        <v>6</v>
      </c>
      <c r="G531" t="s">
        <v>247</v>
      </c>
      <c r="H531" t="s">
        <v>1093</v>
      </c>
      <c r="L531" s="35">
        <v>20000</v>
      </c>
    </row>
    <row r="532" spans="1:12" hidden="1" x14ac:dyDescent="0.25">
      <c r="A532">
        <v>0</v>
      </c>
      <c r="B532" t="s">
        <v>244</v>
      </c>
      <c r="C532" s="18">
        <v>45658</v>
      </c>
      <c r="D532" t="str">
        <f>"8240"</f>
        <v>8240</v>
      </c>
      <c r="E532" s="18">
        <v>45233</v>
      </c>
      <c r="F532" t="str">
        <f>"14292"</f>
        <v>14292</v>
      </c>
      <c r="G532" t="s">
        <v>247</v>
      </c>
      <c r="H532" t="s">
        <v>1094</v>
      </c>
      <c r="L532" s="35">
        <v>74040</v>
      </c>
    </row>
    <row r="533" spans="1:12" hidden="1" x14ac:dyDescent="0.25">
      <c r="A533">
        <v>0</v>
      </c>
      <c r="B533" t="s">
        <v>244</v>
      </c>
      <c r="C533" s="18">
        <v>45658</v>
      </c>
      <c r="D533" t="str">
        <f>"8241"</f>
        <v>8241</v>
      </c>
      <c r="E533" s="18">
        <v>45233</v>
      </c>
      <c r="F533" t="s">
        <v>1095</v>
      </c>
      <c r="G533" t="s">
        <v>247</v>
      </c>
      <c r="H533" t="s">
        <v>1096</v>
      </c>
      <c r="L533" s="35">
        <v>28000</v>
      </c>
    </row>
    <row r="534" spans="1:12" hidden="1" x14ac:dyDescent="0.25">
      <c r="A534">
        <v>0</v>
      </c>
      <c r="B534" t="s">
        <v>244</v>
      </c>
      <c r="C534" s="18">
        <v>45658</v>
      </c>
      <c r="D534" t="str">
        <f>"8242"</f>
        <v>8242</v>
      </c>
      <c r="E534" s="18">
        <v>45233</v>
      </c>
      <c r="F534" t="s">
        <v>1097</v>
      </c>
      <c r="G534" t="s">
        <v>247</v>
      </c>
      <c r="H534" t="s">
        <v>1098</v>
      </c>
      <c r="L534" s="35">
        <v>48000</v>
      </c>
    </row>
    <row r="535" spans="1:12" hidden="1" x14ac:dyDescent="0.25">
      <c r="A535">
        <v>0</v>
      </c>
      <c r="B535" t="s">
        <v>244</v>
      </c>
      <c r="C535" s="18">
        <v>45658</v>
      </c>
      <c r="D535" t="str">
        <f>"8243"</f>
        <v>8243</v>
      </c>
      <c r="E535" s="18">
        <v>45233</v>
      </c>
      <c r="F535" t="s">
        <v>1099</v>
      </c>
      <c r="G535" t="s">
        <v>247</v>
      </c>
      <c r="H535" t="s">
        <v>1100</v>
      </c>
      <c r="L535" s="35">
        <v>96000</v>
      </c>
    </row>
    <row r="536" spans="1:12" hidden="1" x14ac:dyDescent="0.25">
      <c r="A536">
        <v>0</v>
      </c>
      <c r="B536" t="s">
        <v>244</v>
      </c>
      <c r="C536" s="18">
        <v>45658</v>
      </c>
      <c r="D536" t="str">
        <f>"8244"</f>
        <v>8244</v>
      </c>
      <c r="E536" s="18">
        <v>45233</v>
      </c>
      <c r="F536" t="s">
        <v>1101</v>
      </c>
      <c r="G536" t="s">
        <v>247</v>
      </c>
      <c r="H536" t="s">
        <v>1102</v>
      </c>
      <c r="L536" s="35">
        <v>28000</v>
      </c>
    </row>
    <row r="537" spans="1:12" hidden="1" x14ac:dyDescent="0.25">
      <c r="A537">
        <v>0</v>
      </c>
      <c r="B537" t="s">
        <v>244</v>
      </c>
      <c r="C537" s="18">
        <v>45658</v>
      </c>
      <c r="D537" t="str">
        <f>"8245"</f>
        <v>8245</v>
      </c>
      <c r="E537" s="18">
        <v>45233</v>
      </c>
      <c r="F537" t="s">
        <v>1103</v>
      </c>
      <c r="G537" t="s">
        <v>247</v>
      </c>
      <c r="H537" t="s">
        <v>1104</v>
      </c>
      <c r="L537" s="35">
        <v>36000</v>
      </c>
    </row>
    <row r="538" spans="1:12" hidden="1" x14ac:dyDescent="0.25">
      <c r="A538">
        <v>0</v>
      </c>
      <c r="B538" t="s">
        <v>244</v>
      </c>
      <c r="C538" s="18">
        <v>45658</v>
      </c>
      <c r="D538" t="str">
        <f>"8246"</f>
        <v>8246</v>
      </c>
      <c r="E538" s="18">
        <v>45247</v>
      </c>
      <c r="F538" t="str">
        <f>"15379"</f>
        <v>15379</v>
      </c>
      <c r="G538" t="s">
        <v>247</v>
      </c>
      <c r="H538" t="s">
        <v>1105</v>
      </c>
      <c r="L538" s="35">
        <v>392000</v>
      </c>
    </row>
    <row r="539" spans="1:12" hidden="1" x14ac:dyDescent="0.25">
      <c r="A539">
        <v>0</v>
      </c>
      <c r="B539" t="s">
        <v>244</v>
      </c>
      <c r="C539" s="18">
        <v>45658</v>
      </c>
      <c r="D539" t="str">
        <f>"8247"</f>
        <v>8247</v>
      </c>
      <c r="E539" s="18">
        <v>45248</v>
      </c>
      <c r="F539" t="s">
        <v>1106</v>
      </c>
      <c r="G539" t="s">
        <v>247</v>
      </c>
      <c r="H539" t="s">
        <v>1107</v>
      </c>
      <c r="L539" s="35">
        <v>828000</v>
      </c>
    </row>
    <row r="540" spans="1:12" hidden="1" x14ac:dyDescent="0.25">
      <c r="A540">
        <v>0</v>
      </c>
      <c r="B540" t="s">
        <v>244</v>
      </c>
      <c r="C540" s="18">
        <v>45658</v>
      </c>
      <c r="D540" t="str">
        <f>"8248"</f>
        <v>8248</v>
      </c>
      <c r="E540" s="18">
        <v>45233</v>
      </c>
      <c r="F540" t="s">
        <v>1108</v>
      </c>
      <c r="G540" t="s">
        <v>247</v>
      </c>
      <c r="H540" t="s">
        <v>1109</v>
      </c>
      <c r="L540" s="35">
        <v>3038400</v>
      </c>
    </row>
    <row r="541" spans="1:12" hidden="1" x14ac:dyDescent="0.25">
      <c r="A541">
        <v>0</v>
      </c>
      <c r="B541" t="s">
        <v>244</v>
      </c>
      <c r="C541" s="18">
        <v>45658</v>
      </c>
      <c r="D541" t="str">
        <f>"8249"</f>
        <v>8249</v>
      </c>
      <c r="E541" s="18">
        <v>45233</v>
      </c>
      <c r="F541" t="str">
        <f>"330506"</f>
        <v>330506</v>
      </c>
      <c r="G541" t="s">
        <v>247</v>
      </c>
      <c r="H541" t="s">
        <v>1110</v>
      </c>
      <c r="L541" s="35">
        <v>1200000</v>
      </c>
    </row>
    <row r="542" spans="1:12" hidden="1" x14ac:dyDescent="0.25">
      <c r="A542">
        <v>0</v>
      </c>
      <c r="B542" t="s">
        <v>244</v>
      </c>
      <c r="C542" s="18">
        <v>45658</v>
      </c>
      <c r="D542" t="str">
        <f>"8250"</f>
        <v>8250</v>
      </c>
      <c r="E542" s="18">
        <v>45254</v>
      </c>
      <c r="F542" t="str">
        <f>"15448"</f>
        <v>15448</v>
      </c>
      <c r="G542" t="s">
        <v>247</v>
      </c>
      <c r="H542" t="s">
        <v>1111</v>
      </c>
      <c r="L542" s="35">
        <v>1012000</v>
      </c>
    </row>
    <row r="543" spans="1:12" hidden="1" x14ac:dyDescent="0.25">
      <c r="A543">
        <v>0</v>
      </c>
      <c r="B543" t="s">
        <v>244</v>
      </c>
      <c r="C543" s="18">
        <v>45658</v>
      </c>
      <c r="D543" t="str">
        <f>"8251"</f>
        <v>8251</v>
      </c>
      <c r="E543" s="18">
        <v>45247</v>
      </c>
      <c r="F543" t="s">
        <v>1112</v>
      </c>
      <c r="G543" t="s">
        <v>247</v>
      </c>
      <c r="H543" t="s">
        <v>1113</v>
      </c>
      <c r="L543" s="35">
        <v>81200</v>
      </c>
    </row>
    <row r="544" spans="1:12" hidden="1" x14ac:dyDescent="0.25">
      <c r="A544">
        <v>0</v>
      </c>
      <c r="B544" t="s">
        <v>244</v>
      </c>
      <c r="C544" s="18">
        <v>45658</v>
      </c>
      <c r="D544" t="str">
        <f>"8252"</f>
        <v>8252</v>
      </c>
      <c r="E544" s="18">
        <v>45240</v>
      </c>
      <c r="F544" t="str">
        <f>"243118"</f>
        <v>243118</v>
      </c>
      <c r="G544" t="s">
        <v>247</v>
      </c>
      <c r="H544" t="s">
        <v>1114</v>
      </c>
      <c r="L544" s="35">
        <v>78400</v>
      </c>
    </row>
    <row r="545" spans="1:12" hidden="1" x14ac:dyDescent="0.25">
      <c r="A545">
        <v>0</v>
      </c>
      <c r="B545" t="s">
        <v>250</v>
      </c>
      <c r="C545" s="18">
        <v>45849</v>
      </c>
      <c r="D545" t="str">
        <f>"8252"</f>
        <v>8252</v>
      </c>
      <c r="E545" s="18">
        <v>45849</v>
      </c>
      <c r="F545" t="str">
        <f>"24731"</f>
        <v>24731</v>
      </c>
      <c r="G545" t="s">
        <v>247</v>
      </c>
      <c r="H545" t="s">
        <v>613</v>
      </c>
      <c r="L545" s="35">
        <v>2018400</v>
      </c>
    </row>
    <row r="546" spans="1:12" hidden="1" x14ac:dyDescent="0.25">
      <c r="A546">
        <v>0</v>
      </c>
      <c r="B546" t="s">
        <v>244</v>
      </c>
      <c r="C546" s="18">
        <v>45658</v>
      </c>
      <c r="D546" t="str">
        <f>"8253"</f>
        <v>8253</v>
      </c>
      <c r="E546" s="18">
        <v>45254</v>
      </c>
      <c r="F546" t="s">
        <v>1115</v>
      </c>
      <c r="G546" t="s">
        <v>247</v>
      </c>
      <c r="H546" t="s">
        <v>1116</v>
      </c>
      <c r="L546" s="35">
        <v>419280</v>
      </c>
    </row>
    <row r="547" spans="1:12" hidden="1" x14ac:dyDescent="0.25">
      <c r="A547">
        <v>0</v>
      </c>
      <c r="B547" t="s">
        <v>244</v>
      </c>
      <c r="C547" s="18">
        <v>45658</v>
      </c>
      <c r="D547" t="str">
        <f>"8254"</f>
        <v>8254</v>
      </c>
      <c r="E547" s="18">
        <v>45250</v>
      </c>
      <c r="F547" t="s">
        <v>1117</v>
      </c>
      <c r="G547" t="s">
        <v>247</v>
      </c>
      <c r="H547" t="s">
        <v>1118</v>
      </c>
      <c r="L547" s="35">
        <v>572040</v>
      </c>
    </row>
    <row r="548" spans="1:12" hidden="1" x14ac:dyDescent="0.25">
      <c r="A548">
        <v>0</v>
      </c>
      <c r="B548" t="s">
        <v>244</v>
      </c>
      <c r="C548" s="18">
        <v>45658</v>
      </c>
      <c r="D548" t="str">
        <f>"8255"</f>
        <v>8255</v>
      </c>
      <c r="E548" s="18">
        <v>45233</v>
      </c>
      <c r="F548" t="s">
        <v>1119</v>
      </c>
      <c r="G548" t="s">
        <v>247</v>
      </c>
      <c r="H548" t="s">
        <v>1120</v>
      </c>
      <c r="L548" s="35">
        <v>1200000</v>
      </c>
    </row>
    <row r="549" spans="1:12" hidden="1" x14ac:dyDescent="0.25">
      <c r="A549">
        <v>0</v>
      </c>
      <c r="B549" t="s">
        <v>244</v>
      </c>
      <c r="C549" s="18">
        <v>45658</v>
      </c>
      <c r="D549" t="str">
        <f>"8256"</f>
        <v>8256</v>
      </c>
      <c r="E549" s="18">
        <v>45233</v>
      </c>
      <c r="F549" t="s">
        <v>1121</v>
      </c>
      <c r="G549" t="s">
        <v>247</v>
      </c>
      <c r="H549" t="s">
        <v>1122</v>
      </c>
      <c r="L549" s="35">
        <v>128000</v>
      </c>
    </row>
    <row r="550" spans="1:12" hidden="1" x14ac:dyDescent="0.25">
      <c r="A550">
        <v>0</v>
      </c>
      <c r="B550" t="s">
        <v>244</v>
      </c>
      <c r="C550" s="18">
        <v>45658</v>
      </c>
      <c r="D550" t="str">
        <f>"8257"</f>
        <v>8257</v>
      </c>
      <c r="E550" s="18">
        <v>45235</v>
      </c>
      <c r="F550" t="str">
        <f>"354575"</f>
        <v>354575</v>
      </c>
      <c r="G550" t="s">
        <v>247</v>
      </c>
      <c r="H550" t="s">
        <v>1123</v>
      </c>
      <c r="L550" s="35">
        <v>16000</v>
      </c>
    </row>
    <row r="551" spans="1:12" hidden="1" x14ac:dyDescent="0.25">
      <c r="A551">
        <v>0</v>
      </c>
      <c r="B551" t="s">
        <v>244</v>
      </c>
      <c r="C551" s="18">
        <v>45658</v>
      </c>
      <c r="D551" t="str">
        <f>"8258"</f>
        <v>8258</v>
      </c>
      <c r="E551" s="18">
        <v>45240</v>
      </c>
      <c r="F551" t="s">
        <v>1124</v>
      </c>
      <c r="G551" t="s">
        <v>247</v>
      </c>
      <c r="H551" t="s">
        <v>1125</v>
      </c>
      <c r="L551" s="35">
        <v>28000</v>
      </c>
    </row>
    <row r="552" spans="1:12" hidden="1" x14ac:dyDescent="0.25">
      <c r="A552">
        <v>0</v>
      </c>
      <c r="B552" t="s">
        <v>244</v>
      </c>
      <c r="C552" s="18">
        <v>45658</v>
      </c>
      <c r="D552" t="str">
        <f>"8259"</f>
        <v>8259</v>
      </c>
      <c r="E552" s="18">
        <v>45240</v>
      </c>
      <c r="F552" t="s">
        <v>1126</v>
      </c>
      <c r="G552" t="s">
        <v>247</v>
      </c>
      <c r="H552" t="s">
        <v>1127</v>
      </c>
      <c r="L552" s="35">
        <v>578400</v>
      </c>
    </row>
    <row r="553" spans="1:12" hidden="1" x14ac:dyDescent="0.25">
      <c r="A553">
        <v>0</v>
      </c>
      <c r="B553" t="s">
        <v>244</v>
      </c>
      <c r="C553" s="18">
        <v>45658</v>
      </c>
      <c r="D553" t="str">
        <f>"8260"</f>
        <v>8260</v>
      </c>
      <c r="E553" s="18">
        <v>45240</v>
      </c>
      <c r="F553" t="s">
        <v>1128</v>
      </c>
      <c r="G553" t="s">
        <v>247</v>
      </c>
      <c r="H553" t="s">
        <v>1129</v>
      </c>
      <c r="L553" s="35">
        <v>1113520</v>
      </c>
    </row>
    <row r="554" spans="1:12" hidden="1" x14ac:dyDescent="0.25">
      <c r="A554">
        <v>0</v>
      </c>
      <c r="B554" t="s">
        <v>244</v>
      </c>
      <c r="C554" s="18">
        <v>45658</v>
      </c>
      <c r="D554" t="str">
        <f>"8261"</f>
        <v>8261</v>
      </c>
      <c r="E554" s="18">
        <v>45246</v>
      </c>
      <c r="F554" t="s">
        <v>1130</v>
      </c>
      <c r="G554" t="s">
        <v>247</v>
      </c>
      <c r="H554" t="s">
        <v>1131</v>
      </c>
      <c r="L554" s="35">
        <v>28000</v>
      </c>
    </row>
    <row r="555" spans="1:12" hidden="1" x14ac:dyDescent="0.25">
      <c r="A555">
        <v>0</v>
      </c>
      <c r="B555" t="s">
        <v>244</v>
      </c>
      <c r="C555" s="18">
        <v>45658</v>
      </c>
      <c r="D555" t="str">
        <f>"8262"</f>
        <v>8262</v>
      </c>
      <c r="E555" s="18">
        <v>45250</v>
      </c>
      <c r="F555" t="s">
        <v>1132</v>
      </c>
      <c r="G555" t="s">
        <v>247</v>
      </c>
      <c r="H555" t="s">
        <v>1133</v>
      </c>
      <c r="L555" s="35">
        <v>326720</v>
      </c>
    </row>
    <row r="556" spans="1:12" hidden="1" x14ac:dyDescent="0.25">
      <c r="A556">
        <v>0</v>
      </c>
      <c r="B556" t="s">
        <v>244</v>
      </c>
      <c r="C556" s="18">
        <v>45658</v>
      </c>
      <c r="D556" t="str">
        <f>"8263"</f>
        <v>8263</v>
      </c>
      <c r="E556" s="18">
        <v>45268</v>
      </c>
      <c r="F556" t="str">
        <f>"15540"</f>
        <v>15540</v>
      </c>
      <c r="G556" t="s">
        <v>247</v>
      </c>
      <c r="H556" t="s">
        <v>1134</v>
      </c>
      <c r="L556" s="35">
        <v>408000</v>
      </c>
    </row>
    <row r="557" spans="1:12" hidden="1" x14ac:dyDescent="0.25">
      <c r="A557">
        <v>0</v>
      </c>
      <c r="B557" t="s">
        <v>244</v>
      </c>
      <c r="C557" s="18">
        <v>45658</v>
      </c>
      <c r="D557" t="str">
        <f>"8264"</f>
        <v>8264</v>
      </c>
      <c r="E557" s="18">
        <v>45268</v>
      </c>
      <c r="F557" t="str">
        <f>"15541"</f>
        <v>15541</v>
      </c>
      <c r="G557" t="s">
        <v>247</v>
      </c>
      <c r="H557" t="s">
        <v>1135</v>
      </c>
      <c r="L557" s="35">
        <v>280000</v>
      </c>
    </row>
    <row r="558" spans="1:12" hidden="1" x14ac:dyDescent="0.25">
      <c r="A558">
        <v>0</v>
      </c>
      <c r="B558" t="s">
        <v>244</v>
      </c>
      <c r="C558" s="18">
        <v>45658</v>
      </c>
      <c r="D558" t="str">
        <f>"8265"</f>
        <v>8265</v>
      </c>
      <c r="E558" s="18">
        <v>45268</v>
      </c>
      <c r="F558" t="str">
        <f>"15542"</f>
        <v>15542</v>
      </c>
      <c r="G558" t="s">
        <v>247</v>
      </c>
      <c r="H558" t="s">
        <v>1136</v>
      </c>
      <c r="L558" s="35">
        <v>56000</v>
      </c>
    </row>
    <row r="559" spans="1:12" hidden="1" x14ac:dyDescent="0.25">
      <c r="A559">
        <v>0</v>
      </c>
      <c r="B559" t="s">
        <v>244</v>
      </c>
      <c r="C559" s="18">
        <v>45658</v>
      </c>
      <c r="D559" t="str">
        <f>"8266"</f>
        <v>8266</v>
      </c>
      <c r="E559" s="18">
        <v>45264</v>
      </c>
      <c r="F559" t="str">
        <f>"230623"</f>
        <v>230623</v>
      </c>
      <c r="G559" t="s">
        <v>247</v>
      </c>
      <c r="H559" t="s">
        <v>1137</v>
      </c>
      <c r="L559" s="35">
        <v>65600</v>
      </c>
    </row>
    <row r="560" spans="1:12" hidden="1" x14ac:dyDescent="0.25">
      <c r="A560">
        <v>0</v>
      </c>
      <c r="B560" t="s">
        <v>244</v>
      </c>
      <c r="C560" s="18">
        <v>45658</v>
      </c>
      <c r="D560" t="str">
        <f>"8267"</f>
        <v>8267</v>
      </c>
      <c r="E560" s="18">
        <v>45266</v>
      </c>
      <c r="F560" t="s">
        <v>1138</v>
      </c>
      <c r="G560" t="s">
        <v>247</v>
      </c>
      <c r="H560" t="s">
        <v>1139</v>
      </c>
      <c r="L560" s="35">
        <v>209600</v>
      </c>
    </row>
    <row r="561" spans="1:13" hidden="1" x14ac:dyDescent="0.25">
      <c r="A561">
        <v>0</v>
      </c>
      <c r="B561" t="s">
        <v>244</v>
      </c>
      <c r="C561" s="18">
        <v>45658</v>
      </c>
      <c r="D561" t="str">
        <f>"8268"</f>
        <v>8268</v>
      </c>
      <c r="E561" s="18">
        <v>45266</v>
      </c>
      <c r="F561" t="str">
        <f>"344"</f>
        <v>344</v>
      </c>
      <c r="G561" t="s">
        <v>247</v>
      </c>
      <c r="H561" t="s">
        <v>1140</v>
      </c>
      <c r="L561" s="35">
        <v>500000</v>
      </c>
    </row>
    <row r="562" spans="1:13" hidden="1" x14ac:dyDescent="0.25">
      <c r="A562">
        <v>0</v>
      </c>
      <c r="B562" t="s">
        <v>244</v>
      </c>
      <c r="C562" s="18">
        <v>45658</v>
      </c>
      <c r="D562" t="str">
        <f>"8269"</f>
        <v>8269</v>
      </c>
      <c r="E562" s="18">
        <v>45272</v>
      </c>
      <c r="F562" t="s">
        <v>1141</v>
      </c>
      <c r="G562" t="s">
        <v>247</v>
      </c>
      <c r="H562" t="s">
        <v>1142</v>
      </c>
      <c r="L562" s="35">
        <v>28000</v>
      </c>
    </row>
    <row r="563" spans="1:13" hidden="1" x14ac:dyDescent="0.25">
      <c r="A563">
        <v>0</v>
      </c>
      <c r="B563" t="s">
        <v>244</v>
      </c>
      <c r="C563" s="18">
        <v>45658</v>
      </c>
      <c r="D563" t="str">
        <f>"8270"</f>
        <v>8270</v>
      </c>
      <c r="E563" s="18">
        <v>45275</v>
      </c>
      <c r="F563" t="str">
        <f>"15633"</f>
        <v>15633</v>
      </c>
      <c r="G563" t="s">
        <v>247</v>
      </c>
      <c r="H563" t="s">
        <v>1143</v>
      </c>
      <c r="L563" s="35">
        <v>80000</v>
      </c>
    </row>
    <row r="564" spans="1:13" hidden="1" x14ac:dyDescent="0.25">
      <c r="A564">
        <v>0</v>
      </c>
      <c r="B564" t="s">
        <v>244</v>
      </c>
      <c r="C564" s="18">
        <v>45658</v>
      </c>
      <c r="D564" t="str">
        <f>"8271"</f>
        <v>8271</v>
      </c>
      <c r="E564" s="18">
        <v>45275</v>
      </c>
      <c r="F564" t="str">
        <f>"15634"</f>
        <v>15634</v>
      </c>
      <c r="G564" t="s">
        <v>247</v>
      </c>
      <c r="H564" t="s">
        <v>1144</v>
      </c>
      <c r="L564" s="35">
        <v>152000</v>
      </c>
    </row>
    <row r="565" spans="1:13" hidden="1" x14ac:dyDescent="0.25">
      <c r="A565">
        <v>0</v>
      </c>
      <c r="B565" t="s">
        <v>244</v>
      </c>
      <c r="C565" s="18">
        <v>45658</v>
      </c>
      <c r="D565" t="str">
        <f>"8272"</f>
        <v>8272</v>
      </c>
      <c r="E565" s="18">
        <v>45191</v>
      </c>
      <c r="G565" t="s">
        <v>247</v>
      </c>
      <c r="H565" t="s">
        <v>1145</v>
      </c>
      <c r="M565" s="35">
        <v>49397062</v>
      </c>
    </row>
    <row r="566" spans="1:13" hidden="1" x14ac:dyDescent="0.25">
      <c r="A566">
        <v>0</v>
      </c>
      <c r="B566" t="s">
        <v>244</v>
      </c>
      <c r="C566" s="18">
        <v>45658</v>
      </c>
      <c r="D566" t="str">
        <f>"8273"</f>
        <v>8273</v>
      </c>
      <c r="E566" s="18">
        <v>45048</v>
      </c>
      <c r="G566" t="s">
        <v>247</v>
      </c>
      <c r="H566" t="s">
        <v>1146</v>
      </c>
      <c r="M566" s="35">
        <v>37614282.789999999</v>
      </c>
    </row>
    <row r="567" spans="1:13" hidden="1" x14ac:dyDescent="0.25">
      <c r="A567">
        <v>0</v>
      </c>
      <c r="B567" t="s">
        <v>244</v>
      </c>
      <c r="C567" s="18">
        <v>45658</v>
      </c>
      <c r="D567" t="str">
        <f>"8274"</f>
        <v>8274</v>
      </c>
      <c r="E567" s="18">
        <v>45293</v>
      </c>
      <c r="F567" t="s">
        <v>1147</v>
      </c>
      <c r="G567" t="s">
        <v>247</v>
      </c>
      <c r="H567" t="s">
        <v>1148</v>
      </c>
      <c r="L567" s="35">
        <v>28000</v>
      </c>
    </row>
    <row r="568" spans="1:13" hidden="1" x14ac:dyDescent="0.25">
      <c r="A568">
        <v>0</v>
      </c>
      <c r="B568" t="s">
        <v>244</v>
      </c>
      <c r="C568" s="18">
        <v>45658</v>
      </c>
      <c r="D568" t="str">
        <f>"8275"</f>
        <v>8275</v>
      </c>
      <c r="E568" s="18">
        <v>45293</v>
      </c>
      <c r="F568" t="s">
        <v>1149</v>
      </c>
      <c r="G568" t="s">
        <v>247</v>
      </c>
      <c r="H568" t="s">
        <v>1150</v>
      </c>
      <c r="L568" s="35">
        <v>184400</v>
      </c>
    </row>
    <row r="569" spans="1:13" hidden="1" x14ac:dyDescent="0.25">
      <c r="A569">
        <v>0</v>
      </c>
      <c r="B569" t="s">
        <v>244</v>
      </c>
      <c r="C569" s="18">
        <v>45658</v>
      </c>
      <c r="D569" t="str">
        <f>"8276"</f>
        <v>8276</v>
      </c>
      <c r="E569" s="18">
        <v>45295</v>
      </c>
      <c r="F569" t="str">
        <f>"007128"</f>
        <v>007128</v>
      </c>
      <c r="G569" t="s">
        <v>247</v>
      </c>
      <c r="H569" t="s">
        <v>1151</v>
      </c>
      <c r="L569" s="35">
        <v>26000</v>
      </c>
    </row>
    <row r="570" spans="1:13" hidden="1" x14ac:dyDescent="0.25">
      <c r="A570">
        <v>0</v>
      </c>
      <c r="B570" t="s">
        <v>244</v>
      </c>
      <c r="C570" s="18">
        <v>45658</v>
      </c>
      <c r="D570" t="str">
        <f>"8277"</f>
        <v>8277</v>
      </c>
      <c r="E570" s="18">
        <v>45296</v>
      </c>
      <c r="F570" t="str">
        <f>"568781"</f>
        <v>568781</v>
      </c>
      <c r="G570" t="s">
        <v>247</v>
      </c>
      <c r="H570" t="s">
        <v>1152</v>
      </c>
      <c r="L570" s="35">
        <v>193776</v>
      </c>
    </row>
    <row r="571" spans="1:13" hidden="1" x14ac:dyDescent="0.25">
      <c r="A571">
        <v>0</v>
      </c>
      <c r="B571" t="s">
        <v>244</v>
      </c>
      <c r="C571" s="18">
        <v>45658</v>
      </c>
      <c r="D571" t="str">
        <f>"8278"</f>
        <v>8278</v>
      </c>
      <c r="E571" s="18">
        <v>45299</v>
      </c>
      <c r="F571" t="s">
        <v>1153</v>
      </c>
      <c r="G571" t="s">
        <v>247</v>
      </c>
      <c r="H571" t="s">
        <v>1154</v>
      </c>
      <c r="L571" s="35">
        <v>19200</v>
      </c>
    </row>
    <row r="572" spans="1:13" hidden="1" x14ac:dyDescent="0.25">
      <c r="A572">
        <v>0</v>
      </c>
      <c r="B572" t="s">
        <v>244</v>
      </c>
      <c r="C572" s="18">
        <v>45658</v>
      </c>
      <c r="D572" t="str">
        <f>"8279"</f>
        <v>8279</v>
      </c>
      <c r="E572" s="18">
        <v>45299</v>
      </c>
      <c r="F572" t="str">
        <f>"202401004"</f>
        <v>202401004</v>
      </c>
      <c r="G572" t="s">
        <v>247</v>
      </c>
      <c r="H572" t="s">
        <v>1155</v>
      </c>
      <c r="L572" s="35">
        <v>36000</v>
      </c>
    </row>
    <row r="573" spans="1:13" hidden="1" x14ac:dyDescent="0.25">
      <c r="A573">
        <v>0</v>
      </c>
      <c r="B573" t="s">
        <v>244</v>
      </c>
      <c r="C573" s="18">
        <v>45658</v>
      </c>
      <c r="D573" t="str">
        <f>"8280"</f>
        <v>8280</v>
      </c>
      <c r="E573" s="18">
        <v>45299</v>
      </c>
      <c r="F573" s="18">
        <v>45202</v>
      </c>
      <c r="G573" t="s">
        <v>247</v>
      </c>
      <c r="H573" t="s">
        <v>1156</v>
      </c>
      <c r="L573" s="35">
        <v>48800</v>
      </c>
    </row>
    <row r="574" spans="1:13" hidden="1" x14ac:dyDescent="0.25">
      <c r="A574">
        <v>0</v>
      </c>
      <c r="B574" t="s">
        <v>244</v>
      </c>
      <c r="C574" s="18">
        <v>45658</v>
      </c>
      <c r="D574" t="str">
        <f>"8281"</f>
        <v>8281</v>
      </c>
      <c r="E574" s="18">
        <v>45301</v>
      </c>
      <c r="F574" s="18">
        <v>45263</v>
      </c>
      <c r="G574" t="s">
        <v>247</v>
      </c>
      <c r="H574" t="s">
        <v>1157</v>
      </c>
      <c r="L574" s="35">
        <v>45200</v>
      </c>
    </row>
    <row r="575" spans="1:13" hidden="1" x14ac:dyDescent="0.25">
      <c r="A575">
        <v>0</v>
      </c>
      <c r="B575" t="s">
        <v>244</v>
      </c>
      <c r="C575" s="18">
        <v>45658</v>
      </c>
      <c r="D575" t="str">
        <f>"8282"</f>
        <v>8282</v>
      </c>
      <c r="E575" s="18">
        <v>45301</v>
      </c>
      <c r="F575" t="s">
        <v>1158</v>
      </c>
      <c r="G575" t="s">
        <v>247</v>
      </c>
      <c r="H575" t="s">
        <v>1159</v>
      </c>
      <c r="L575" s="35">
        <v>95680</v>
      </c>
    </row>
    <row r="576" spans="1:13" hidden="1" x14ac:dyDescent="0.25">
      <c r="A576">
        <v>0</v>
      </c>
      <c r="B576" t="s">
        <v>244</v>
      </c>
      <c r="C576" s="18">
        <v>45658</v>
      </c>
      <c r="D576" t="str">
        <f>"8283"</f>
        <v>8283</v>
      </c>
      <c r="E576" s="18">
        <v>45301</v>
      </c>
      <c r="F576" t="s">
        <v>1160</v>
      </c>
      <c r="G576" t="s">
        <v>247</v>
      </c>
      <c r="H576" t="s">
        <v>1161</v>
      </c>
      <c r="L576" s="35">
        <v>102640</v>
      </c>
    </row>
    <row r="577" spans="1:12" hidden="1" x14ac:dyDescent="0.25">
      <c r="A577">
        <v>0</v>
      </c>
      <c r="B577" t="s">
        <v>244</v>
      </c>
      <c r="C577" s="18">
        <v>45658</v>
      </c>
      <c r="D577" t="str">
        <f>"8284"</f>
        <v>8284</v>
      </c>
      <c r="E577" s="18">
        <v>45302</v>
      </c>
      <c r="F577" t="str">
        <f>"244718"</f>
        <v>244718</v>
      </c>
      <c r="G577" t="s">
        <v>247</v>
      </c>
      <c r="H577" t="s">
        <v>1162</v>
      </c>
      <c r="L577" s="35">
        <v>115520</v>
      </c>
    </row>
    <row r="578" spans="1:12" hidden="1" x14ac:dyDescent="0.25">
      <c r="A578">
        <v>0</v>
      </c>
      <c r="B578" t="s">
        <v>244</v>
      </c>
      <c r="C578" s="18">
        <v>45658</v>
      </c>
      <c r="D578" t="str">
        <f>"8285"</f>
        <v>8285</v>
      </c>
      <c r="E578" s="18">
        <v>45302</v>
      </c>
      <c r="F578" t="s">
        <v>1163</v>
      </c>
      <c r="G578" t="s">
        <v>247</v>
      </c>
      <c r="H578" t="s">
        <v>1164</v>
      </c>
      <c r="L578" s="35">
        <v>24000</v>
      </c>
    </row>
    <row r="579" spans="1:12" hidden="1" x14ac:dyDescent="0.25">
      <c r="A579">
        <v>0</v>
      </c>
      <c r="B579" t="s">
        <v>244</v>
      </c>
      <c r="C579" s="18">
        <v>45658</v>
      </c>
      <c r="D579" t="str">
        <f>"8286"</f>
        <v>8286</v>
      </c>
      <c r="E579" s="18">
        <v>45302</v>
      </c>
      <c r="F579" t="s">
        <v>1165</v>
      </c>
      <c r="G579" t="s">
        <v>247</v>
      </c>
      <c r="H579" t="s">
        <v>1166</v>
      </c>
      <c r="L579" s="35">
        <v>28000</v>
      </c>
    </row>
    <row r="580" spans="1:12" hidden="1" x14ac:dyDescent="0.25">
      <c r="A580">
        <v>0</v>
      </c>
      <c r="B580" t="s">
        <v>244</v>
      </c>
      <c r="C580" s="18">
        <v>45658</v>
      </c>
      <c r="D580" t="str">
        <f>"8287"</f>
        <v>8287</v>
      </c>
      <c r="E580" s="18">
        <v>45303</v>
      </c>
      <c r="F580" t="s">
        <v>1167</v>
      </c>
      <c r="G580" t="s">
        <v>247</v>
      </c>
      <c r="H580" t="s">
        <v>1168</v>
      </c>
      <c r="L580" s="35">
        <v>8160</v>
      </c>
    </row>
    <row r="581" spans="1:12" hidden="1" x14ac:dyDescent="0.25">
      <c r="A581">
        <v>0</v>
      </c>
      <c r="B581" t="s">
        <v>244</v>
      </c>
      <c r="C581" s="18">
        <v>45658</v>
      </c>
      <c r="D581" t="str">
        <f>"8288"</f>
        <v>8288</v>
      </c>
      <c r="E581" s="18">
        <v>45306</v>
      </c>
      <c r="F581" t="s">
        <v>1169</v>
      </c>
      <c r="G581" t="s">
        <v>247</v>
      </c>
      <c r="H581" t="s">
        <v>1170</v>
      </c>
      <c r="L581" s="35">
        <v>58480</v>
      </c>
    </row>
    <row r="582" spans="1:12" hidden="1" x14ac:dyDescent="0.25">
      <c r="A582">
        <v>0</v>
      </c>
      <c r="B582" t="s">
        <v>244</v>
      </c>
      <c r="C582" s="18">
        <v>45658</v>
      </c>
      <c r="D582" t="str">
        <f>"8289"</f>
        <v>8289</v>
      </c>
      <c r="E582" s="18">
        <v>45306</v>
      </c>
      <c r="F582" t="s">
        <v>1171</v>
      </c>
      <c r="G582" t="s">
        <v>247</v>
      </c>
      <c r="H582" t="s">
        <v>1172</v>
      </c>
      <c r="L582" s="35">
        <v>470560</v>
      </c>
    </row>
    <row r="583" spans="1:12" hidden="1" x14ac:dyDescent="0.25">
      <c r="A583">
        <v>0</v>
      </c>
      <c r="B583" t="s">
        <v>244</v>
      </c>
      <c r="C583" s="18">
        <v>45658</v>
      </c>
      <c r="D583" t="str">
        <f>"8290"</f>
        <v>8290</v>
      </c>
      <c r="E583" s="18">
        <v>45310</v>
      </c>
      <c r="F583" t="s">
        <v>1173</v>
      </c>
      <c r="G583" t="s">
        <v>247</v>
      </c>
      <c r="H583" t="s">
        <v>1174</v>
      </c>
      <c r="L583" s="35">
        <v>117920</v>
      </c>
    </row>
    <row r="584" spans="1:12" hidden="1" x14ac:dyDescent="0.25">
      <c r="A584">
        <v>0</v>
      </c>
      <c r="B584" t="s">
        <v>244</v>
      </c>
      <c r="C584" s="18">
        <v>45658</v>
      </c>
      <c r="D584" t="str">
        <f>"8291"</f>
        <v>8291</v>
      </c>
      <c r="E584" s="18">
        <v>45310</v>
      </c>
      <c r="F584" t="s">
        <v>1175</v>
      </c>
      <c r="G584" t="s">
        <v>247</v>
      </c>
      <c r="H584" t="s">
        <v>1176</v>
      </c>
      <c r="L584" s="35">
        <v>42640</v>
      </c>
    </row>
    <row r="585" spans="1:12" hidden="1" x14ac:dyDescent="0.25">
      <c r="A585">
        <v>0</v>
      </c>
      <c r="B585" t="s">
        <v>244</v>
      </c>
      <c r="C585" s="18">
        <v>45658</v>
      </c>
      <c r="D585" t="str">
        <f>"8292"</f>
        <v>8292</v>
      </c>
      <c r="E585" s="18">
        <v>45314</v>
      </c>
      <c r="F585" t="s">
        <v>1177</v>
      </c>
      <c r="G585" t="s">
        <v>247</v>
      </c>
      <c r="H585" t="s">
        <v>1178</v>
      </c>
      <c r="L585" s="35">
        <v>347360</v>
      </c>
    </row>
    <row r="586" spans="1:12" hidden="1" x14ac:dyDescent="0.25">
      <c r="A586">
        <v>0</v>
      </c>
      <c r="B586" t="s">
        <v>244</v>
      </c>
      <c r="C586" s="18">
        <v>45658</v>
      </c>
      <c r="D586" t="str">
        <f>"8293"</f>
        <v>8293</v>
      </c>
      <c r="E586" s="18">
        <v>45314</v>
      </c>
      <c r="F586" t="str">
        <f>"271223"</f>
        <v>271223</v>
      </c>
      <c r="G586" t="s">
        <v>247</v>
      </c>
      <c r="H586" t="s">
        <v>1179</v>
      </c>
      <c r="L586" s="35">
        <v>10000</v>
      </c>
    </row>
    <row r="587" spans="1:12" hidden="1" x14ac:dyDescent="0.25">
      <c r="A587">
        <v>0</v>
      </c>
      <c r="B587" t="s">
        <v>244</v>
      </c>
      <c r="C587" s="18">
        <v>45658</v>
      </c>
      <c r="D587" t="str">
        <f>"8294"</f>
        <v>8294</v>
      </c>
      <c r="E587" s="18">
        <v>45316</v>
      </c>
      <c r="F587" t="s">
        <v>1180</v>
      </c>
      <c r="G587" t="s">
        <v>247</v>
      </c>
      <c r="H587" t="s">
        <v>1181</v>
      </c>
      <c r="L587" s="35">
        <v>249600</v>
      </c>
    </row>
    <row r="588" spans="1:12" hidden="1" x14ac:dyDescent="0.25">
      <c r="A588">
        <v>0</v>
      </c>
      <c r="B588" t="s">
        <v>244</v>
      </c>
      <c r="C588" s="18">
        <v>45658</v>
      </c>
      <c r="D588" t="str">
        <f>"8295"</f>
        <v>8295</v>
      </c>
      <c r="E588" s="18">
        <v>45321</v>
      </c>
      <c r="F588" t="str">
        <f>"2347"</f>
        <v>2347</v>
      </c>
      <c r="G588" t="s">
        <v>247</v>
      </c>
      <c r="H588" t="s">
        <v>1182</v>
      </c>
      <c r="L588" s="35">
        <v>600000</v>
      </c>
    </row>
    <row r="589" spans="1:12" hidden="1" x14ac:dyDescent="0.25">
      <c r="A589">
        <v>0</v>
      </c>
      <c r="B589" t="s">
        <v>244</v>
      </c>
      <c r="C589" s="18">
        <v>45658</v>
      </c>
      <c r="D589" t="str">
        <f>"8296"</f>
        <v>8296</v>
      </c>
      <c r="E589" t="str">
        <f>"00013053"</f>
        <v>00013053</v>
      </c>
      <c r="G589" t="s">
        <v>247</v>
      </c>
      <c r="H589" t="s">
        <v>1183</v>
      </c>
      <c r="L589" s="35">
        <v>22553172.18</v>
      </c>
    </row>
    <row r="590" spans="1:12" hidden="1" x14ac:dyDescent="0.25">
      <c r="A590">
        <v>0</v>
      </c>
      <c r="B590" t="s">
        <v>244</v>
      </c>
      <c r="C590" s="18">
        <v>45658</v>
      </c>
      <c r="D590" t="str">
        <f>"8297"</f>
        <v>8297</v>
      </c>
      <c r="E590" s="18">
        <v>45324</v>
      </c>
      <c r="F590" t="s">
        <v>1184</v>
      </c>
      <c r="G590" t="s">
        <v>247</v>
      </c>
      <c r="H590" t="s">
        <v>1185</v>
      </c>
      <c r="L590" s="35">
        <v>28000</v>
      </c>
    </row>
    <row r="591" spans="1:12" hidden="1" x14ac:dyDescent="0.25">
      <c r="A591">
        <v>0</v>
      </c>
      <c r="B591" t="s">
        <v>244</v>
      </c>
      <c r="C591" s="18">
        <v>45658</v>
      </c>
      <c r="D591" t="str">
        <f>"8298"</f>
        <v>8298</v>
      </c>
      <c r="E591" s="18">
        <v>45324</v>
      </c>
      <c r="F591" t="s">
        <v>1186</v>
      </c>
      <c r="G591" t="s">
        <v>247</v>
      </c>
      <c r="H591" t="s">
        <v>1187</v>
      </c>
      <c r="L591" s="35">
        <v>85440</v>
      </c>
    </row>
    <row r="592" spans="1:12" hidden="1" x14ac:dyDescent="0.25">
      <c r="A592">
        <v>0</v>
      </c>
      <c r="B592" t="s">
        <v>244</v>
      </c>
      <c r="C592" s="18">
        <v>45658</v>
      </c>
      <c r="D592" t="str">
        <f>"8299"</f>
        <v>8299</v>
      </c>
      <c r="E592" s="18">
        <v>45327</v>
      </c>
      <c r="F592" t="str">
        <f>"071123"</f>
        <v>071123</v>
      </c>
      <c r="G592" t="s">
        <v>247</v>
      </c>
      <c r="H592" t="s">
        <v>1188</v>
      </c>
      <c r="L592" s="35">
        <v>750000</v>
      </c>
    </row>
    <row r="593" spans="1:12" hidden="1" x14ac:dyDescent="0.25">
      <c r="A593">
        <v>0</v>
      </c>
      <c r="B593" t="s">
        <v>244</v>
      </c>
      <c r="C593" s="18">
        <v>45658</v>
      </c>
      <c r="D593" t="str">
        <f>"8300"</f>
        <v>8300</v>
      </c>
      <c r="E593" s="18">
        <v>45327</v>
      </c>
      <c r="F593" t="s">
        <v>1189</v>
      </c>
      <c r="G593" t="s">
        <v>247</v>
      </c>
      <c r="H593" t="s">
        <v>1190</v>
      </c>
      <c r="L593" s="35">
        <v>484560</v>
      </c>
    </row>
    <row r="594" spans="1:12" hidden="1" x14ac:dyDescent="0.25">
      <c r="A594">
        <v>0</v>
      </c>
      <c r="B594" t="s">
        <v>244</v>
      </c>
      <c r="C594" s="18">
        <v>45658</v>
      </c>
      <c r="D594" t="str">
        <f>"8301"</f>
        <v>8301</v>
      </c>
      <c r="E594" s="18">
        <v>45327</v>
      </c>
      <c r="F594" t="s">
        <v>1191</v>
      </c>
      <c r="G594" t="s">
        <v>247</v>
      </c>
      <c r="H594" t="s">
        <v>1192</v>
      </c>
      <c r="L594" s="35">
        <v>12160</v>
      </c>
    </row>
    <row r="595" spans="1:12" hidden="1" x14ac:dyDescent="0.25">
      <c r="A595">
        <v>0</v>
      </c>
      <c r="B595" t="s">
        <v>244</v>
      </c>
      <c r="C595" s="18">
        <v>45658</v>
      </c>
      <c r="D595" t="str">
        <f>"8302"</f>
        <v>8302</v>
      </c>
      <c r="E595" s="18">
        <v>45327</v>
      </c>
      <c r="F595" t="s">
        <v>1193</v>
      </c>
      <c r="G595" t="s">
        <v>247</v>
      </c>
      <c r="H595" t="s">
        <v>1194</v>
      </c>
      <c r="L595" s="35">
        <v>203120</v>
      </c>
    </row>
    <row r="596" spans="1:12" hidden="1" x14ac:dyDescent="0.25">
      <c r="A596">
        <v>0</v>
      </c>
      <c r="B596" t="s">
        <v>244</v>
      </c>
      <c r="C596" s="18">
        <v>45658</v>
      </c>
      <c r="D596" t="str">
        <f>"8303"</f>
        <v>8303</v>
      </c>
      <c r="E596" s="18">
        <v>45327</v>
      </c>
      <c r="F596" t="s">
        <v>1195</v>
      </c>
      <c r="G596" t="s">
        <v>247</v>
      </c>
      <c r="H596" t="s">
        <v>1196</v>
      </c>
      <c r="L596" s="35">
        <v>149440</v>
      </c>
    </row>
    <row r="597" spans="1:12" hidden="1" x14ac:dyDescent="0.25">
      <c r="A597">
        <v>0</v>
      </c>
      <c r="B597" t="s">
        <v>244</v>
      </c>
      <c r="C597" s="18">
        <v>45658</v>
      </c>
      <c r="D597" t="str">
        <f>"8304"</f>
        <v>8304</v>
      </c>
      <c r="E597" s="18">
        <v>45329</v>
      </c>
      <c r="F597" t="str">
        <f>"1017"</f>
        <v>1017</v>
      </c>
      <c r="G597" t="s">
        <v>247</v>
      </c>
      <c r="H597" t="s">
        <v>1197</v>
      </c>
      <c r="L597" s="35">
        <v>432000</v>
      </c>
    </row>
    <row r="598" spans="1:12" hidden="1" x14ac:dyDescent="0.25">
      <c r="A598">
        <v>0</v>
      </c>
      <c r="B598" t="s">
        <v>244</v>
      </c>
      <c r="C598" s="18">
        <v>45658</v>
      </c>
      <c r="D598" t="str">
        <f>"8305"</f>
        <v>8305</v>
      </c>
      <c r="E598" s="18">
        <v>45329</v>
      </c>
      <c r="F598" t="s">
        <v>1198</v>
      </c>
      <c r="G598" t="s">
        <v>247</v>
      </c>
      <c r="H598" t="s">
        <v>1199</v>
      </c>
      <c r="L598" s="35">
        <v>10560</v>
      </c>
    </row>
    <row r="599" spans="1:12" hidden="1" x14ac:dyDescent="0.25">
      <c r="A599">
        <v>0</v>
      </c>
      <c r="B599" t="s">
        <v>244</v>
      </c>
      <c r="C599" s="18">
        <v>45658</v>
      </c>
      <c r="D599" t="str">
        <f>"8306"</f>
        <v>8306</v>
      </c>
      <c r="E599" s="18">
        <v>45329</v>
      </c>
      <c r="F599" t="str">
        <f>"202402004"</f>
        <v>202402004</v>
      </c>
      <c r="G599" t="s">
        <v>247</v>
      </c>
      <c r="H599" t="s">
        <v>1200</v>
      </c>
      <c r="L599" s="35">
        <v>16000</v>
      </c>
    </row>
    <row r="600" spans="1:12" hidden="1" x14ac:dyDescent="0.25">
      <c r="A600">
        <v>0</v>
      </c>
      <c r="B600" t="s">
        <v>244</v>
      </c>
      <c r="C600" s="18">
        <v>45658</v>
      </c>
      <c r="D600" t="str">
        <f>"8307"</f>
        <v>8307</v>
      </c>
      <c r="E600" s="18">
        <v>45329</v>
      </c>
      <c r="F600" t="s">
        <v>1201</v>
      </c>
      <c r="G600" t="s">
        <v>247</v>
      </c>
      <c r="H600" t="s">
        <v>1202</v>
      </c>
      <c r="L600" s="35">
        <v>184000</v>
      </c>
    </row>
    <row r="601" spans="1:12" hidden="1" x14ac:dyDescent="0.25">
      <c r="A601">
        <v>0</v>
      </c>
      <c r="B601" t="s">
        <v>244</v>
      </c>
      <c r="C601" s="18">
        <v>45658</v>
      </c>
      <c r="D601" t="str">
        <f>"8308"</f>
        <v>8308</v>
      </c>
      <c r="E601" s="18">
        <v>45330</v>
      </c>
      <c r="F601" t="str">
        <f>"150124"</f>
        <v>150124</v>
      </c>
      <c r="G601" t="s">
        <v>247</v>
      </c>
      <c r="H601" t="s">
        <v>1203</v>
      </c>
      <c r="L601" s="35">
        <v>40000</v>
      </c>
    </row>
    <row r="602" spans="1:12" hidden="1" x14ac:dyDescent="0.25">
      <c r="A602">
        <v>0</v>
      </c>
      <c r="B602" t="s">
        <v>244</v>
      </c>
      <c r="C602" s="18">
        <v>45658</v>
      </c>
      <c r="D602" t="str">
        <f>"8309"</f>
        <v>8309</v>
      </c>
      <c r="E602" s="18">
        <v>45330</v>
      </c>
      <c r="F602" t="s">
        <v>1204</v>
      </c>
      <c r="G602" t="s">
        <v>247</v>
      </c>
      <c r="H602" t="s">
        <v>1205</v>
      </c>
      <c r="L602" s="35">
        <v>64000</v>
      </c>
    </row>
    <row r="603" spans="1:12" hidden="1" x14ac:dyDescent="0.25">
      <c r="A603">
        <v>0</v>
      </c>
      <c r="B603" t="s">
        <v>244</v>
      </c>
      <c r="C603" s="18">
        <v>45658</v>
      </c>
      <c r="D603" t="str">
        <f>"8310"</f>
        <v>8310</v>
      </c>
      <c r="E603" s="18">
        <v>45331</v>
      </c>
      <c r="F603" t="s">
        <v>1206</v>
      </c>
      <c r="G603" t="s">
        <v>247</v>
      </c>
      <c r="H603" t="s">
        <v>1207</v>
      </c>
      <c r="L603" s="35">
        <v>343440</v>
      </c>
    </row>
    <row r="604" spans="1:12" hidden="1" x14ac:dyDescent="0.25">
      <c r="A604">
        <v>0</v>
      </c>
      <c r="B604" t="s">
        <v>244</v>
      </c>
      <c r="C604" s="18">
        <v>45658</v>
      </c>
      <c r="D604" t="str">
        <f>"8311"</f>
        <v>8311</v>
      </c>
      <c r="E604" s="18">
        <v>45331</v>
      </c>
      <c r="F604" t="s">
        <v>1208</v>
      </c>
      <c r="G604" t="s">
        <v>247</v>
      </c>
      <c r="H604" t="s">
        <v>1209</v>
      </c>
      <c r="L604" s="35">
        <v>240000</v>
      </c>
    </row>
    <row r="605" spans="1:12" hidden="1" x14ac:dyDescent="0.25">
      <c r="A605">
        <v>0</v>
      </c>
      <c r="B605" t="s">
        <v>244</v>
      </c>
      <c r="C605" s="18">
        <v>45658</v>
      </c>
      <c r="D605" t="str">
        <f>"8312"</f>
        <v>8312</v>
      </c>
      <c r="E605" s="18">
        <v>45331</v>
      </c>
      <c r="F605" t="s">
        <v>1210</v>
      </c>
      <c r="G605" t="s">
        <v>247</v>
      </c>
      <c r="H605" t="s">
        <v>1211</v>
      </c>
      <c r="L605" s="35">
        <v>88160</v>
      </c>
    </row>
    <row r="606" spans="1:12" hidden="1" x14ac:dyDescent="0.25">
      <c r="A606">
        <v>0</v>
      </c>
      <c r="B606" t="s">
        <v>244</v>
      </c>
      <c r="C606" s="18">
        <v>45658</v>
      </c>
      <c r="D606" t="str">
        <f>"8313"</f>
        <v>8313</v>
      </c>
      <c r="E606" s="18">
        <v>45331</v>
      </c>
      <c r="F606" t="s">
        <v>1212</v>
      </c>
      <c r="G606" t="s">
        <v>247</v>
      </c>
      <c r="H606" t="s">
        <v>1213</v>
      </c>
      <c r="L606" s="35">
        <v>2010723</v>
      </c>
    </row>
    <row r="607" spans="1:12" hidden="1" x14ac:dyDescent="0.25">
      <c r="A607">
        <v>0</v>
      </c>
      <c r="B607" t="s">
        <v>244</v>
      </c>
      <c r="C607" s="18">
        <v>45658</v>
      </c>
      <c r="D607" t="str">
        <f>"8314"</f>
        <v>8314</v>
      </c>
      <c r="E607" s="18">
        <v>45331</v>
      </c>
      <c r="F607" t="s">
        <v>1214</v>
      </c>
      <c r="G607" t="s">
        <v>247</v>
      </c>
      <c r="H607" t="s">
        <v>1215</v>
      </c>
      <c r="L607" s="35">
        <v>187920</v>
      </c>
    </row>
    <row r="608" spans="1:12" hidden="1" x14ac:dyDescent="0.25">
      <c r="A608">
        <v>0</v>
      </c>
      <c r="B608" t="s">
        <v>244</v>
      </c>
      <c r="C608" s="18">
        <v>45658</v>
      </c>
      <c r="D608" t="str">
        <f>"8315"</f>
        <v>8315</v>
      </c>
      <c r="E608" s="18">
        <v>45331</v>
      </c>
      <c r="F608" t="s">
        <v>1216</v>
      </c>
      <c r="G608" t="s">
        <v>247</v>
      </c>
      <c r="H608" t="s">
        <v>1217</v>
      </c>
      <c r="L608" s="35">
        <v>479200</v>
      </c>
    </row>
    <row r="609" spans="1:12" hidden="1" x14ac:dyDescent="0.25">
      <c r="A609">
        <v>0</v>
      </c>
      <c r="B609" t="s">
        <v>244</v>
      </c>
      <c r="C609" s="18">
        <v>45658</v>
      </c>
      <c r="D609" t="str">
        <f>"8316"</f>
        <v>8316</v>
      </c>
      <c r="E609" s="18">
        <v>45331</v>
      </c>
      <c r="F609" t="s">
        <v>1218</v>
      </c>
      <c r="G609" t="s">
        <v>247</v>
      </c>
      <c r="H609" t="s">
        <v>1219</v>
      </c>
      <c r="L609" s="35">
        <v>32000</v>
      </c>
    </row>
    <row r="610" spans="1:12" hidden="1" x14ac:dyDescent="0.25">
      <c r="A610">
        <v>0</v>
      </c>
      <c r="B610" t="s">
        <v>244</v>
      </c>
      <c r="C610" s="18">
        <v>45658</v>
      </c>
      <c r="D610" t="str">
        <f>"8317"</f>
        <v>8317</v>
      </c>
      <c r="E610" s="18">
        <v>45331</v>
      </c>
      <c r="F610" t="s">
        <v>1220</v>
      </c>
      <c r="G610" t="s">
        <v>247</v>
      </c>
      <c r="H610" t="s">
        <v>1221</v>
      </c>
      <c r="L610" s="35">
        <v>24000</v>
      </c>
    </row>
    <row r="611" spans="1:12" hidden="1" x14ac:dyDescent="0.25">
      <c r="A611">
        <v>0</v>
      </c>
      <c r="B611" t="s">
        <v>244</v>
      </c>
      <c r="C611" s="18">
        <v>45658</v>
      </c>
      <c r="D611" t="str">
        <f>"8318"</f>
        <v>8318</v>
      </c>
      <c r="E611" s="18">
        <v>45332</v>
      </c>
      <c r="F611" t="str">
        <f>"17096"</f>
        <v>17096</v>
      </c>
      <c r="G611" t="s">
        <v>247</v>
      </c>
      <c r="H611" t="s">
        <v>1222</v>
      </c>
      <c r="L611" s="35">
        <v>90880</v>
      </c>
    </row>
    <row r="612" spans="1:12" hidden="1" x14ac:dyDescent="0.25">
      <c r="A612">
        <v>0</v>
      </c>
      <c r="B612" t="s">
        <v>244</v>
      </c>
      <c r="C612" s="18">
        <v>45658</v>
      </c>
      <c r="D612" t="str">
        <f>"8319"</f>
        <v>8319</v>
      </c>
      <c r="E612" s="18">
        <v>45332</v>
      </c>
      <c r="F612" t="str">
        <f>"17097"</f>
        <v>17097</v>
      </c>
      <c r="G612" t="s">
        <v>247</v>
      </c>
      <c r="H612" t="s">
        <v>1223</v>
      </c>
      <c r="L612" s="35">
        <v>432000</v>
      </c>
    </row>
    <row r="613" spans="1:12" hidden="1" x14ac:dyDescent="0.25">
      <c r="A613">
        <v>0</v>
      </c>
      <c r="B613" t="s">
        <v>244</v>
      </c>
      <c r="C613" s="18">
        <v>45658</v>
      </c>
      <c r="D613" t="str">
        <f>"8320"</f>
        <v>8320</v>
      </c>
      <c r="E613" s="18">
        <v>45334</v>
      </c>
      <c r="F613" t="str">
        <f>"240019"</f>
        <v>240019</v>
      </c>
      <c r="G613" t="s">
        <v>247</v>
      </c>
      <c r="H613" t="s">
        <v>1224</v>
      </c>
      <c r="L613" s="35">
        <v>520000</v>
      </c>
    </row>
    <row r="614" spans="1:12" hidden="1" x14ac:dyDescent="0.25">
      <c r="A614">
        <v>0</v>
      </c>
      <c r="B614" t="s">
        <v>244</v>
      </c>
      <c r="C614" s="18">
        <v>45658</v>
      </c>
      <c r="D614" t="str">
        <f>"8321"</f>
        <v>8321</v>
      </c>
      <c r="E614" s="18">
        <v>45334</v>
      </c>
      <c r="F614" t="s">
        <v>1225</v>
      </c>
      <c r="G614" t="s">
        <v>247</v>
      </c>
      <c r="H614" t="s">
        <v>1226</v>
      </c>
      <c r="L614" s="35">
        <v>116880</v>
      </c>
    </row>
    <row r="615" spans="1:12" hidden="1" x14ac:dyDescent="0.25">
      <c r="A615">
        <v>0</v>
      </c>
      <c r="B615" t="s">
        <v>244</v>
      </c>
      <c r="C615" s="18">
        <v>45658</v>
      </c>
      <c r="D615" t="str">
        <f>"8322"</f>
        <v>8322</v>
      </c>
      <c r="E615" s="18">
        <v>45334</v>
      </c>
      <c r="F615" s="32">
        <v>45292</v>
      </c>
      <c r="G615" t="s">
        <v>247</v>
      </c>
      <c r="H615" t="s">
        <v>1227</v>
      </c>
      <c r="L615" s="35">
        <v>65920</v>
      </c>
    </row>
    <row r="616" spans="1:12" hidden="1" x14ac:dyDescent="0.25">
      <c r="A616">
        <v>0</v>
      </c>
      <c r="B616" t="s">
        <v>244</v>
      </c>
      <c r="C616" s="18">
        <v>45658</v>
      </c>
      <c r="D616" t="str">
        <f>"8323"</f>
        <v>8323</v>
      </c>
      <c r="E616" s="18">
        <v>45335</v>
      </c>
      <c r="F616" t="s">
        <v>1228</v>
      </c>
      <c r="G616" t="s">
        <v>247</v>
      </c>
      <c r="H616" t="s">
        <v>1229</v>
      </c>
      <c r="L616" s="35">
        <v>216960</v>
      </c>
    </row>
    <row r="617" spans="1:12" hidden="1" x14ac:dyDescent="0.25">
      <c r="A617">
        <v>0</v>
      </c>
      <c r="B617" t="s">
        <v>244</v>
      </c>
      <c r="C617" s="18">
        <v>45658</v>
      </c>
      <c r="D617" t="str">
        <f>"8324"</f>
        <v>8324</v>
      </c>
      <c r="E617" s="18">
        <v>45336</v>
      </c>
      <c r="F617" t="s">
        <v>1230</v>
      </c>
      <c r="G617" t="s">
        <v>247</v>
      </c>
      <c r="H617" t="s">
        <v>1202</v>
      </c>
      <c r="L617" s="35">
        <v>600000</v>
      </c>
    </row>
    <row r="618" spans="1:12" hidden="1" x14ac:dyDescent="0.25">
      <c r="A618">
        <v>0</v>
      </c>
      <c r="B618" t="s">
        <v>244</v>
      </c>
      <c r="C618" s="18">
        <v>45658</v>
      </c>
      <c r="D618" t="str">
        <f>"8325"</f>
        <v>8325</v>
      </c>
      <c r="E618" s="18">
        <v>45337</v>
      </c>
      <c r="F618" t="str">
        <f>"331614"</f>
        <v>331614</v>
      </c>
      <c r="G618" t="s">
        <v>247</v>
      </c>
      <c r="H618" t="s">
        <v>1231</v>
      </c>
      <c r="L618" s="35">
        <v>534400</v>
      </c>
    </row>
    <row r="619" spans="1:12" hidden="1" x14ac:dyDescent="0.25">
      <c r="A619">
        <v>0</v>
      </c>
      <c r="B619" t="s">
        <v>244</v>
      </c>
      <c r="C619" s="18">
        <v>45658</v>
      </c>
      <c r="D619" t="str">
        <f>"8326"</f>
        <v>8326</v>
      </c>
      <c r="E619" s="18">
        <v>45337</v>
      </c>
      <c r="F619" t="s">
        <v>1232</v>
      </c>
      <c r="G619" t="s">
        <v>247</v>
      </c>
      <c r="H619" t="s">
        <v>1233</v>
      </c>
      <c r="L619" s="35">
        <v>31200</v>
      </c>
    </row>
    <row r="620" spans="1:12" hidden="1" x14ac:dyDescent="0.25">
      <c r="A620">
        <v>0</v>
      </c>
      <c r="B620" t="s">
        <v>244</v>
      </c>
      <c r="C620" s="18">
        <v>45658</v>
      </c>
      <c r="D620" t="str">
        <f>"8327"</f>
        <v>8327</v>
      </c>
      <c r="E620" s="18">
        <v>45341</v>
      </c>
      <c r="F620" t="s">
        <v>1234</v>
      </c>
      <c r="G620" t="s">
        <v>247</v>
      </c>
      <c r="H620" t="s">
        <v>1235</v>
      </c>
      <c r="L620" s="35">
        <v>77360</v>
      </c>
    </row>
    <row r="621" spans="1:12" hidden="1" x14ac:dyDescent="0.25">
      <c r="A621">
        <v>0</v>
      </c>
      <c r="B621" t="s">
        <v>244</v>
      </c>
      <c r="C621" s="18">
        <v>45658</v>
      </c>
      <c r="D621" t="str">
        <f>"8328"</f>
        <v>8328</v>
      </c>
      <c r="E621" s="18">
        <v>45341</v>
      </c>
      <c r="F621" t="str">
        <f>"018374"</f>
        <v>018374</v>
      </c>
      <c r="G621" t="s">
        <v>247</v>
      </c>
      <c r="H621" t="s">
        <v>1236</v>
      </c>
      <c r="L621" s="35">
        <v>32800</v>
      </c>
    </row>
    <row r="622" spans="1:12" hidden="1" x14ac:dyDescent="0.25">
      <c r="A622">
        <v>0</v>
      </c>
      <c r="B622" t="s">
        <v>244</v>
      </c>
      <c r="C622" s="18">
        <v>45658</v>
      </c>
      <c r="D622" t="str">
        <f>"8329"</f>
        <v>8329</v>
      </c>
      <c r="E622" s="18">
        <v>45344</v>
      </c>
      <c r="F622" s="34">
        <v>570037</v>
      </c>
      <c r="G622" t="s">
        <v>247</v>
      </c>
      <c r="H622" t="s">
        <v>1237</v>
      </c>
      <c r="L622" s="35">
        <v>178288</v>
      </c>
    </row>
    <row r="623" spans="1:12" hidden="1" x14ac:dyDescent="0.25">
      <c r="A623">
        <v>0</v>
      </c>
      <c r="B623" t="s">
        <v>244</v>
      </c>
      <c r="C623" s="18">
        <v>45658</v>
      </c>
      <c r="D623" t="str">
        <f>"8330"</f>
        <v>8330</v>
      </c>
      <c r="E623" s="18">
        <v>45344</v>
      </c>
      <c r="F623" t="str">
        <f>"717"</f>
        <v>717</v>
      </c>
      <c r="G623" t="s">
        <v>247</v>
      </c>
      <c r="H623" t="s">
        <v>1238</v>
      </c>
      <c r="L623" s="35">
        <v>154000</v>
      </c>
    </row>
    <row r="624" spans="1:12" hidden="1" x14ac:dyDescent="0.25">
      <c r="A624">
        <v>0</v>
      </c>
      <c r="B624" t="s">
        <v>244</v>
      </c>
      <c r="C624" s="18">
        <v>45658</v>
      </c>
      <c r="D624" t="str">
        <f>"8331"</f>
        <v>8331</v>
      </c>
      <c r="E624" s="18">
        <v>45345</v>
      </c>
      <c r="F624" t="str">
        <f>"17190"</f>
        <v>17190</v>
      </c>
      <c r="G624" t="s">
        <v>247</v>
      </c>
      <c r="H624" t="s">
        <v>1239</v>
      </c>
      <c r="L624" s="35">
        <v>52032</v>
      </c>
    </row>
    <row r="625" spans="1:12" hidden="1" x14ac:dyDescent="0.25">
      <c r="A625">
        <v>0</v>
      </c>
      <c r="B625" t="s">
        <v>244</v>
      </c>
      <c r="C625" s="18">
        <v>45658</v>
      </c>
      <c r="D625" t="str">
        <f>"8332"</f>
        <v>8332</v>
      </c>
      <c r="E625" s="18">
        <v>45345</v>
      </c>
      <c r="F625" t="s">
        <v>1240</v>
      </c>
      <c r="G625" t="s">
        <v>247</v>
      </c>
      <c r="H625" t="s">
        <v>1241</v>
      </c>
      <c r="L625" s="35">
        <v>292200</v>
      </c>
    </row>
    <row r="626" spans="1:12" hidden="1" x14ac:dyDescent="0.25">
      <c r="A626">
        <v>0</v>
      </c>
      <c r="B626" t="s">
        <v>244</v>
      </c>
      <c r="C626" s="18">
        <v>45658</v>
      </c>
      <c r="D626" t="str">
        <f>"8333"</f>
        <v>8333</v>
      </c>
      <c r="E626" s="18">
        <v>45345</v>
      </c>
      <c r="F626" t="s">
        <v>1242</v>
      </c>
      <c r="G626" t="s">
        <v>247</v>
      </c>
      <c r="H626" t="s">
        <v>1219</v>
      </c>
      <c r="L626" s="35">
        <v>64000</v>
      </c>
    </row>
    <row r="627" spans="1:12" hidden="1" x14ac:dyDescent="0.25">
      <c r="A627">
        <v>0</v>
      </c>
      <c r="B627" t="s">
        <v>244</v>
      </c>
      <c r="C627" s="18">
        <v>45658</v>
      </c>
      <c r="D627" t="str">
        <f>"8334"</f>
        <v>8334</v>
      </c>
      <c r="E627" s="18">
        <v>45345</v>
      </c>
      <c r="F627" t="s">
        <v>1243</v>
      </c>
      <c r="G627" t="s">
        <v>247</v>
      </c>
      <c r="H627" t="s">
        <v>1244</v>
      </c>
      <c r="L627" s="35">
        <v>1747200</v>
      </c>
    </row>
    <row r="628" spans="1:12" hidden="1" x14ac:dyDescent="0.25">
      <c r="A628">
        <v>0</v>
      </c>
      <c r="B628" t="s">
        <v>244</v>
      </c>
      <c r="C628" s="18">
        <v>45658</v>
      </c>
      <c r="D628" t="str">
        <f>"8335"</f>
        <v>8335</v>
      </c>
      <c r="E628" s="18">
        <v>45345</v>
      </c>
      <c r="F628" t="s">
        <v>1245</v>
      </c>
      <c r="G628" t="s">
        <v>247</v>
      </c>
      <c r="H628" t="s">
        <v>1246</v>
      </c>
      <c r="L628" s="35">
        <v>240000</v>
      </c>
    </row>
    <row r="629" spans="1:12" hidden="1" x14ac:dyDescent="0.25">
      <c r="A629">
        <v>0</v>
      </c>
      <c r="B629" t="s">
        <v>244</v>
      </c>
      <c r="C629" s="18">
        <v>45658</v>
      </c>
      <c r="D629" t="str">
        <f>"8336"</f>
        <v>8336</v>
      </c>
      <c r="E629" s="18">
        <v>45348</v>
      </c>
      <c r="F629" t="str">
        <f>"335033"</f>
        <v>335033</v>
      </c>
      <c r="G629" t="s">
        <v>247</v>
      </c>
      <c r="H629" t="s">
        <v>1247</v>
      </c>
      <c r="L629" s="35">
        <v>600000</v>
      </c>
    </row>
    <row r="630" spans="1:12" hidden="1" x14ac:dyDescent="0.25">
      <c r="A630">
        <v>0</v>
      </c>
      <c r="B630" t="s">
        <v>244</v>
      </c>
      <c r="C630" s="18">
        <v>45658</v>
      </c>
      <c r="D630" t="str">
        <f>"8337"</f>
        <v>8337</v>
      </c>
      <c r="E630" s="18">
        <v>45348</v>
      </c>
      <c r="F630" t="s">
        <v>1248</v>
      </c>
      <c r="G630" t="s">
        <v>247</v>
      </c>
      <c r="H630" t="s">
        <v>1249</v>
      </c>
      <c r="L630" s="35">
        <v>15200</v>
      </c>
    </row>
    <row r="631" spans="1:12" hidden="1" x14ac:dyDescent="0.25">
      <c r="A631">
        <v>0</v>
      </c>
      <c r="B631" t="s">
        <v>244</v>
      </c>
      <c r="C631" s="18">
        <v>45658</v>
      </c>
      <c r="D631" t="str">
        <f>"8338"</f>
        <v>8338</v>
      </c>
      <c r="E631" s="18">
        <v>45349</v>
      </c>
      <c r="F631" t="s">
        <v>1250</v>
      </c>
      <c r="G631" t="s">
        <v>247</v>
      </c>
      <c r="H631" t="s">
        <v>1251</v>
      </c>
      <c r="L631" s="35">
        <v>79840</v>
      </c>
    </row>
    <row r="632" spans="1:12" hidden="1" x14ac:dyDescent="0.25">
      <c r="A632">
        <v>0</v>
      </c>
      <c r="B632" t="s">
        <v>244</v>
      </c>
      <c r="C632" s="18">
        <v>45658</v>
      </c>
      <c r="D632" t="str">
        <f>"8339"</f>
        <v>8339</v>
      </c>
      <c r="E632" s="18">
        <v>45349</v>
      </c>
      <c r="F632" t="s">
        <v>1252</v>
      </c>
      <c r="G632" t="s">
        <v>247</v>
      </c>
      <c r="H632" t="s">
        <v>1253</v>
      </c>
      <c r="L632" s="35">
        <v>64000</v>
      </c>
    </row>
    <row r="633" spans="1:12" hidden="1" x14ac:dyDescent="0.25">
      <c r="A633">
        <v>0</v>
      </c>
      <c r="B633" t="s">
        <v>244</v>
      </c>
      <c r="C633" s="18">
        <v>45658</v>
      </c>
      <c r="D633" t="str">
        <f>"8340"</f>
        <v>8340</v>
      </c>
      <c r="E633" s="18">
        <v>45352</v>
      </c>
      <c r="F633" t="str">
        <f>"007889"</f>
        <v>007889</v>
      </c>
      <c r="G633" t="s">
        <v>247</v>
      </c>
      <c r="H633" t="s">
        <v>1254</v>
      </c>
      <c r="L633" s="35">
        <v>105840</v>
      </c>
    </row>
    <row r="634" spans="1:12" hidden="1" x14ac:dyDescent="0.25">
      <c r="A634">
        <v>0</v>
      </c>
      <c r="B634" t="s">
        <v>244</v>
      </c>
      <c r="C634" s="18">
        <v>45658</v>
      </c>
      <c r="D634" t="str">
        <f>"8341"</f>
        <v>8341</v>
      </c>
      <c r="E634" s="18">
        <v>45355</v>
      </c>
      <c r="F634" t="str">
        <f>"281023"</f>
        <v>281023</v>
      </c>
      <c r="G634" t="s">
        <v>247</v>
      </c>
      <c r="H634" t="s">
        <v>1255</v>
      </c>
      <c r="L634" s="35">
        <v>960720</v>
      </c>
    </row>
    <row r="635" spans="1:12" hidden="1" x14ac:dyDescent="0.25">
      <c r="A635">
        <v>0</v>
      </c>
      <c r="B635" t="s">
        <v>244</v>
      </c>
      <c r="C635" s="18">
        <v>45658</v>
      </c>
      <c r="D635" t="str">
        <f>"8342"</f>
        <v>8342</v>
      </c>
      <c r="E635" s="18">
        <v>45356</v>
      </c>
      <c r="F635" t="str">
        <f>"050224"</f>
        <v>050224</v>
      </c>
      <c r="G635" t="s">
        <v>247</v>
      </c>
      <c r="H635" t="s">
        <v>1256</v>
      </c>
      <c r="L635" s="35">
        <v>80000</v>
      </c>
    </row>
    <row r="636" spans="1:12" x14ac:dyDescent="0.25">
      <c r="A636">
        <v>0</v>
      </c>
      <c r="B636" t="s">
        <v>337</v>
      </c>
      <c r="C636" s="18">
        <v>45869</v>
      </c>
      <c r="D636" t="str">
        <f>"8342"</f>
        <v>8342</v>
      </c>
      <c r="E636" s="18">
        <v>45869</v>
      </c>
      <c r="G636" t="s">
        <v>247</v>
      </c>
      <c r="H636" t="s">
        <v>1257</v>
      </c>
      <c r="L636" s="35">
        <v>65284.480000000003</v>
      </c>
    </row>
    <row r="637" spans="1:12" hidden="1" x14ac:dyDescent="0.25">
      <c r="A637">
        <v>0</v>
      </c>
      <c r="B637" t="s">
        <v>244</v>
      </c>
      <c r="C637" s="18">
        <v>45658</v>
      </c>
      <c r="D637" t="str">
        <f>"8343"</f>
        <v>8343</v>
      </c>
      <c r="E637" s="18">
        <v>45357</v>
      </c>
      <c r="F637" t="str">
        <f>"018374"</f>
        <v>018374</v>
      </c>
      <c r="G637" t="s">
        <v>247</v>
      </c>
      <c r="H637" t="s">
        <v>1258</v>
      </c>
      <c r="L637" s="35">
        <v>32800</v>
      </c>
    </row>
    <row r="638" spans="1:12" x14ac:dyDescent="0.25">
      <c r="A638">
        <v>0</v>
      </c>
      <c r="B638" t="s">
        <v>337</v>
      </c>
      <c r="C638" s="18">
        <v>45869</v>
      </c>
      <c r="D638" t="str">
        <f>"8343"</f>
        <v>8343</v>
      </c>
      <c r="E638" s="18">
        <v>45869</v>
      </c>
      <c r="G638" t="s">
        <v>247</v>
      </c>
      <c r="H638" t="s">
        <v>1259</v>
      </c>
      <c r="L638" s="35">
        <v>10800</v>
      </c>
    </row>
    <row r="639" spans="1:12" hidden="1" x14ac:dyDescent="0.25">
      <c r="A639">
        <v>0</v>
      </c>
      <c r="B639" t="s">
        <v>244</v>
      </c>
      <c r="C639" s="18">
        <v>45658</v>
      </c>
      <c r="D639" t="str">
        <f>"8344"</f>
        <v>8344</v>
      </c>
      <c r="E639" s="18">
        <v>45357</v>
      </c>
      <c r="F639" t="s">
        <v>1260</v>
      </c>
      <c r="G639" t="s">
        <v>247</v>
      </c>
      <c r="H639" t="s">
        <v>1261</v>
      </c>
      <c r="L639" s="35">
        <v>835240</v>
      </c>
    </row>
    <row r="640" spans="1:12" x14ac:dyDescent="0.25">
      <c r="A640">
        <v>0</v>
      </c>
      <c r="B640" t="s">
        <v>337</v>
      </c>
      <c r="C640" s="18">
        <v>45846</v>
      </c>
      <c r="D640" t="str">
        <f>"8344"</f>
        <v>8344</v>
      </c>
      <c r="E640" s="18">
        <v>45846</v>
      </c>
      <c r="G640" t="s">
        <v>247</v>
      </c>
      <c r="H640" t="s">
        <v>1262</v>
      </c>
      <c r="L640" s="35">
        <v>9600</v>
      </c>
    </row>
    <row r="641" spans="1:12" hidden="1" x14ac:dyDescent="0.25">
      <c r="A641">
        <v>0</v>
      </c>
      <c r="B641" t="s">
        <v>244</v>
      </c>
      <c r="C641" s="18">
        <v>45658</v>
      </c>
      <c r="D641" t="str">
        <f>"8345"</f>
        <v>8345</v>
      </c>
      <c r="E641" s="18">
        <v>45358</v>
      </c>
      <c r="F641" t="s">
        <v>1263</v>
      </c>
      <c r="G641" t="s">
        <v>247</v>
      </c>
      <c r="H641" t="s">
        <v>1264</v>
      </c>
      <c r="L641" s="35">
        <v>20000</v>
      </c>
    </row>
    <row r="642" spans="1:12" x14ac:dyDescent="0.25">
      <c r="A642">
        <v>0</v>
      </c>
      <c r="B642" t="s">
        <v>337</v>
      </c>
      <c r="C642" s="18">
        <v>45842</v>
      </c>
      <c r="D642" t="str">
        <f>"8345"</f>
        <v>8345</v>
      </c>
      <c r="E642" s="18">
        <v>45842</v>
      </c>
      <c r="G642" t="s">
        <v>247</v>
      </c>
      <c r="H642" t="s">
        <v>1262</v>
      </c>
      <c r="L642" s="35">
        <v>9600</v>
      </c>
    </row>
    <row r="643" spans="1:12" hidden="1" x14ac:dyDescent="0.25">
      <c r="A643">
        <v>0</v>
      </c>
      <c r="B643" t="s">
        <v>244</v>
      </c>
      <c r="C643" s="18">
        <v>45658</v>
      </c>
      <c r="D643" t="str">
        <f>"8346"</f>
        <v>8346</v>
      </c>
      <c r="E643" s="18">
        <v>45358</v>
      </c>
      <c r="F643" t="s">
        <v>1265</v>
      </c>
      <c r="G643" t="s">
        <v>247</v>
      </c>
      <c r="H643" t="s">
        <v>1266</v>
      </c>
      <c r="L643" s="35">
        <v>32800</v>
      </c>
    </row>
    <row r="644" spans="1:12" x14ac:dyDescent="0.25">
      <c r="A644">
        <v>0</v>
      </c>
      <c r="B644" t="s">
        <v>337</v>
      </c>
      <c r="C644" s="18">
        <v>45842</v>
      </c>
      <c r="D644" t="str">
        <f>"8346"</f>
        <v>8346</v>
      </c>
      <c r="E644" s="18">
        <v>45842</v>
      </c>
      <c r="G644" t="s">
        <v>247</v>
      </c>
      <c r="H644" t="s">
        <v>1267</v>
      </c>
      <c r="L644" s="35">
        <v>9600</v>
      </c>
    </row>
    <row r="645" spans="1:12" hidden="1" x14ac:dyDescent="0.25">
      <c r="A645">
        <v>0</v>
      </c>
      <c r="B645" t="s">
        <v>244</v>
      </c>
      <c r="C645" s="18">
        <v>45658</v>
      </c>
      <c r="D645" t="str">
        <f>"8347"</f>
        <v>8347</v>
      </c>
      <c r="E645" s="18">
        <v>45358</v>
      </c>
      <c r="F645" t="str">
        <f>"245164"</f>
        <v>245164</v>
      </c>
      <c r="G645" t="s">
        <v>247</v>
      </c>
      <c r="H645" t="s">
        <v>1268</v>
      </c>
      <c r="L645" s="35">
        <v>78400</v>
      </c>
    </row>
    <row r="646" spans="1:12" x14ac:dyDescent="0.25">
      <c r="A646">
        <v>0</v>
      </c>
      <c r="B646" t="s">
        <v>337</v>
      </c>
      <c r="C646" s="18">
        <v>45846</v>
      </c>
      <c r="D646" t="str">
        <f>"8347"</f>
        <v>8347</v>
      </c>
      <c r="E646" s="18">
        <v>45846</v>
      </c>
      <c r="G646" t="s">
        <v>247</v>
      </c>
      <c r="H646" t="s">
        <v>1269</v>
      </c>
      <c r="L646" s="35">
        <v>9600</v>
      </c>
    </row>
    <row r="647" spans="1:12" hidden="1" x14ac:dyDescent="0.25">
      <c r="A647">
        <v>0</v>
      </c>
      <c r="B647" t="s">
        <v>244</v>
      </c>
      <c r="C647" s="18">
        <v>45658</v>
      </c>
      <c r="D647" t="str">
        <f>"8348"</f>
        <v>8348</v>
      </c>
      <c r="E647" s="18">
        <v>45359</v>
      </c>
      <c r="F647" t="str">
        <f>"17333"</f>
        <v>17333</v>
      </c>
      <c r="G647" t="s">
        <v>247</v>
      </c>
      <c r="H647" t="s">
        <v>1270</v>
      </c>
      <c r="L647" s="35">
        <v>15200</v>
      </c>
    </row>
    <row r="648" spans="1:12" x14ac:dyDescent="0.25">
      <c r="A648">
        <v>0</v>
      </c>
      <c r="B648" t="s">
        <v>337</v>
      </c>
      <c r="C648" s="18">
        <v>45852</v>
      </c>
      <c r="D648" t="str">
        <f>"8348"</f>
        <v>8348</v>
      </c>
      <c r="E648" s="18">
        <v>45852</v>
      </c>
      <c r="G648" t="s">
        <v>247</v>
      </c>
      <c r="H648" t="s">
        <v>1271</v>
      </c>
      <c r="L648" s="35">
        <v>3000</v>
      </c>
    </row>
    <row r="649" spans="1:12" hidden="1" x14ac:dyDescent="0.25">
      <c r="A649">
        <v>0</v>
      </c>
      <c r="B649" t="s">
        <v>244</v>
      </c>
      <c r="C649" s="18">
        <v>45658</v>
      </c>
      <c r="D649" t="str">
        <f>"8349"</f>
        <v>8349</v>
      </c>
      <c r="E649" s="18">
        <v>45362</v>
      </c>
      <c r="F649" t="s">
        <v>1272</v>
      </c>
      <c r="G649" t="s">
        <v>247</v>
      </c>
      <c r="H649" t="s">
        <v>1273</v>
      </c>
      <c r="L649" s="35">
        <v>1044321</v>
      </c>
    </row>
    <row r="650" spans="1:12" x14ac:dyDescent="0.25">
      <c r="A650">
        <v>0</v>
      </c>
      <c r="B650" t="s">
        <v>337</v>
      </c>
      <c r="C650" s="18">
        <v>45852</v>
      </c>
      <c r="D650" t="str">
        <f>"8349"</f>
        <v>8349</v>
      </c>
      <c r="E650" s="18">
        <v>45852</v>
      </c>
      <c r="G650" t="s">
        <v>247</v>
      </c>
      <c r="H650" t="s">
        <v>1274</v>
      </c>
      <c r="L650" s="35">
        <v>3000</v>
      </c>
    </row>
    <row r="651" spans="1:12" hidden="1" x14ac:dyDescent="0.25">
      <c r="A651">
        <v>0</v>
      </c>
      <c r="B651" t="s">
        <v>244</v>
      </c>
      <c r="C651" s="18">
        <v>45658</v>
      </c>
      <c r="D651" t="str">
        <f>"8350"</f>
        <v>8350</v>
      </c>
      <c r="E651" s="18">
        <v>45362</v>
      </c>
      <c r="F651" t="s">
        <v>1275</v>
      </c>
      <c r="G651" t="s">
        <v>247</v>
      </c>
      <c r="H651" t="s">
        <v>1276</v>
      </c>
      <c r="L651" s="35">
        <v>452200</v>
      </c>
    </row>
    <row r="652" spans="1:12" x14ac:dyDescent="0.25">
      <c r="A652">
        <v>0</v>
      </c>
      <c r="B652" t="s">
        <v>337</v>
      </c>
      <c r="C652" s="18">
        <v>45867</v>
      </c>
      <c r="D652" t="str">
        <f>"8350"</f>
        <v>8350</v>
      </c>
      <c r="E652" s="18">
        <v>45867</v>
      </c>
      <c r="G652" t="s">
        <v>247</v>
      </c>
      <c r="H652" t="s">
        <v>1277</v>
      </c>
      <c r="L652" s="35">
        <v>9600</v>
      </c>
    </row>
    <row r="653" spans="1:12" hidden="1" x14ac:dyDescent="0.25">
      <c r="A653">
        <v>0</v>
      </c>
      <c r="B653" t="s">
        <v>244</v>
      </c>
      <c r="C653" s="18">
        <v>45658</v>
      </c>
      <c r="D653" t="str">
        <f>"8351"</f>
        <v>8351</v>
      </c>
      <c r="E653" s="18">
        <v>45363</v>
      </c>
      <c r="F653" t="s">
        <v>1278</v>
      </c>
      <c r="G653" t="s">
        <v>247</v>
      </c>
      <c r="H653" t="s">
        <v>1279</v>
      </c>
      <c r="L653" s="35">
        <v>171120</v>
      </c>
    </row>
    <row r="654" spans="1:12" hidden="1" x14ac:dyDescent="0.25">
      <c r="A654">
        <v>0</v>
      </c>
      <c r="B654" t="s">
        <v>244</v>
      </c>
      <c r="C654" s="18">
        <v>45658</v>
      </c>
      <c r="D654" t="str">
        <f>"8352"</f>
        <v>8352</v>
      </c>
      <c r="E654" s="18">
        <v>45363</v>
      </c>
      <c r="F654" t="s">
        <v>1280</v>
      </c>
      <c r="G654" t="s">
        <v>247</v>
      </c>
      <c r="H654" t="s">
        <v>1281</v>
      </c>
      <c r="L654" s="35">
        <v>791120</v>
      </c>
    </row>
    <row r="655" spans="1:12" hidden="1" x14ac:dyDescent="0.25">
      <c r="A655">
        <v>0</v>
      </c>
      <c r="B655" t="s">
        <v>244</v>
      </c>
      <c r="C655" s="18">
        <v>45658</v>
      </c>
      <c r="D655" t="str">
        <f>"8353"</f>
        <v>8353</v>
      </c>
      <c r="E655" s="18">
        <v>45363</v>
      </c>
      <c r="F655" t="str">
        <f>"246457"</f>
        <v>246457</v>
      </c>
      <c r="G655" t="s">
        <v>247</v>
      </c>
      <c r="H655" t="s">
        <v>1282</v>
      </c>
      <c r="L655" s="35">
        <v>152560</v>
      </c>
    </row>
    <row r="656" spans="1:12" hidden="1" x14ac:dyDescent="0.25">
      <c r="A656">
        <v>0</v>
      </c>
      <c r="B656" t="s">
        <v>244</v>
      </c>
      <c r="C656" s="18">
        <v>45658</v>
      </c>
      <c r="D656" t="str">
        <f>"8354"</f>
        <v>8354</v>
      </c>
      <c r="E656" s="18">
        <v>45364</v>
      </c>
      <c r="F656" t="str">
        <f>"01348"</f>
        <v>01348</v>
      </c>
      <c r="G656" t="s">
        <v>247</v>
      </c>
      <c r="H656" t="s">
        <v>1283</v>
      </c>
      <c r="L656" s="35">
        <v>840000</v>
      </c>
    </row>
    <row r="657" spans="1:12" hidden="1" x14ac:dyDescent="0.25">
      <c r="A657">
        <v>0</v>
      </c>
      <c r="B657" t="s">
        <v>244</v>
      </c>
      <c r="C657" s="18">
        <v>45658</v>
      </c>
      <c r="D657" t="str">
        <f>"8355"</f>
        <v>8355</v>
      </c>
      <c r="E657" s="18">
        <v>45364</v>
      </c>
      <c r="F657" s="18">
        <v>45194</v>
      </c>
      <c r="G657" t="s">
        <v>247</v>
      </c>
      <c r="H657" t="s">
        <v>1284</v>
      </c>
      <c r="L657" s="35">
        <v>130000</v>
      </c>
    </row>
    <row r="658" spans="1:12" hidden="1" x14ac:dyDescent="0.25">
      <c r="A658">
        <v>0</v>
      </c>
      <c r="B658" t="s">
        <v>244</v>
      </c>
      <c r="C658" s="18">
        <v>45658</v>
      </c>
      <c r="D658" t="str">
        <f>"8356"</f>
        <v>8356</v>
      </c>
      <c r="E658" s="18">
        <v>45364</v>
      </c>
      <c r="F658" t="s">
        <v>1285</v>
      </c>
      <c r="G658" t="s">
        <v>247</v>
      </c>
      <c r="H658" t="s">
        <v>1286</v>
      </c>
      <c r="L658" s="35">
        <v>64000</v>
      </c>
    </row>
    <row r="659" spans="1:12" hidden="1" x14ac:dyDescent="0.25">
      <c r="A659">
        <v>0</v>
      </c>
      <c r="B659" t="s">
        <v>244</v>
      </c>
      <c r="C659" s="18">
        <v>45658</v>
      </c>
      <c r="D659" t="str">
        <f>"8357"</f>
        <v>8357</v>
      </c>
      <c r="E659" s="18">
        <v>45364</v>
      </c>
      <c r="F659" t="str">
        <f>"13314"</f>
        <v>13314</v>
      </c>
      <c r="G659" t="s">
        <v>247</v>
      </c>
      <c r="H659" t="s">
        <v>1287</v>
      </c>
      <c r="L659" s="35">
        <v>560000</v>
      </c>
    </row>
    <row r="660" spans="1:12" hidden="1" x14ac:dyDescent="0.25">
      <c r="A660">
        <v>0</v>
      </c>
      <c r="B660" t="s">
        <v>244</v>
      </c>
      <c r="C660" s="18">
        <v>45658</v>
      </c>
      <c r="D660" t="str">
        <f>"8358"</f>
        <v>8358</v>
      </c>
      <c r="E660" s="18">
        <v>45364</v>
      </c>
      <c r="F660" t="str">
        <f>"010224"</f>
        <v>010224</v>
      </c>
      <c r="G660" t="s">
        <v>247</v>
      </c>
      <c r="H660" t="s">
        <v>1288</v>
      </c>
      <c r="L660" s="35">
        <v>412000</v>
      </c>
    </row>
    <row r="661" spans="1:12" hidden="1" x14ac:dyDescent="0.25">
      <c r="A661">
        <v>0</v>
      </c>
      <c r="B661" t="s">
        <v>244</v>
      </c>
      <c r="C661" s="18">
        <v>45658</v>
      </c>
      <c r="D661" t="str">
        <f>"8359"</f>
        <v>8359</v>
      </c>
      <c r="E661" s="18">
        <v>45365</v>
      </c>
      <c r="F661" t="str">
        <f>"018374"</f>
        <v>018374</v>
      </c>
      <c r="G661" t="s">
        <v>247</v>
      </c>
      <c r="H661" t="s">
        <v>1258</v>
      </c>
      <c r="L661" s="35">
        <v>32800</v>
      </c>
    </row>
    <row r="662" spans="1:12" hidden="1" x14ac:dyDescent="0.25">
      <c r="A662">
        <v>0</v>
      </c>
      <c r="B662" t="s">
        <v>244</v>
      </c>
      <c r="C662" s="18">
        <v>45658</v>
      </c>
      <c r="D662" t="str">
        <f>"8360"</f>
        <v>8360</v>
      </c>
      <c r="E662" s="18">
        <v>45366</v>
      </c>
      <c r="F662" t="s">
        <v>1289</v>
      </c>
      <c r="G662" t="s">
        <v>247</v>
      </c>
      <c r="H662" t="s">
        <v>1290</v>
      </c>
      <c r="L662" s="35">
        <v>807200</v>
      </c>
    </row>
    <row r="663" spans="1:12" hidden="1" x14ac:dyDescent="0.25">
      <c r="A663">
        <v>0</v>
      </c>
      <c r="B663" t="s">
        <v>244</v>
      </c>
      <c r="C663" s="18">
        <v>45658</v>
      </c>
      <c r="D663" t="str">
        <f>"8361"</f>
        <v>8361</v>
      </c>
      <c r="E663" s="18">
        <v>45383</v>
      </c>
      <c r="F663" t="s">
        <v>1291</v>
      </c>
      <c r="G663" t="s">
        <v>247</v>
      </c>
      <c r="H663" t="s">
        <v>1292</v>
      </c>
      <c r="L663" s="35">
        <v>133680</v>
      </c>
    </row>
    <row r="664" spans="1:12" hidden="1" x14ac:dyDescent="0.25">
      <c r="A664">
        <v>0</v>
      </c>
      <c r="B664" t="s">
        <v>244</v>
      </c>
      <c r="C664" s="18">
        <v>45658</v>
      </c>
      <c r="D664" t="str">
        <f>"8362"</f>
        <v>8362</v>
      </c>
      <c r="E664" s="18">
        <v>45384</v>
      </c>
      <c r="F664" t="s">
        <v>1293</v>
      </c>
      <c r="G664" t="s">
        <v>247</v>
      </c>
      <c r="H664" t="s">
        <v>1294</v>
      </c>
      <c r="L664" s="35">
        <v>600000</v>
      </c>
    </row>
    <row r="665" spans="1:12" hidden="1" x14ac:dyDescent="0.25">
      <c r="A665">
        <v>0</v>
      </c>
      <c r="B665" t="s">
        <v>244</v>
      </c>
      <c r="C665" s="18">
        <v>45658</v>
      </c>
      <c r="D665" t="str">
        <f>"8363"</f>
        <v>8363</v>
      </c>
      <c r="E665" s="18">
        <v>45384</v>
      </c>
      <c r="F665" t="str">
        <f>"040324"</f>
        <v>040324</v>
      </c>
      <c r="G665" t="s">
        <v>247</v>
      </c>
      <c r="H665" t="s">
        <v>1295</v>
      </c>
      <c r="L665" s="35">
        <v>40000</v>
      </c>
    </row>
    <row r="666" spans="1:12" hidden="1" x14ac:dyDescent="0.25">
      <c r="A666">
        <v>0</v>
      </c>
      <c r="B666" t="s">
        <v>244</v>
      </c>
      <c r="C666" s="18">
        <v>45658</v>
      </c>
      <c r="D666" t="str">
        <f>"8364"</f>
        <v>8364</v>
      </c>
      <c r="E666" s="18">
        <v>45385</v>
      </c>
      <c r="F666" t="s">
        <v>1296</v>
      </c>
      <c r="G666" t="s">
        <v>247</v>
      </c>
      <c r="H666" t="s">
        <v>1297</v>
      </c>
      <c r="L666" s="35">
        <v>8000</v>
      </c>
    </row>
    <row r="667" spans="1:12" hidden="1" x14ac:dyDescent="0.25">
      <c r="A667">
        <v>0</v>
      </c>
      <c r="B667" t="s">
        <v>244</v>
      </c>
      <c r="C667" s="18">
        <v>45658</v>
      </c>
      <c r="D667" t="str">
        <f>"8365"</f>
        <v>8365</v>
      </c>
      <c r="E667" s="18">
        <v>45386</v>
      </c>
      <c r="F667" t="s">
        <v>1298</v>
      </c>
      <c r="G667" t="s">
        <v>247</v>
      </c>
      <c r="H667" t="s">
        <v>1299</v>
      </c>
      <c r="L667" s="35">
        <v>100800</v>
      </c>
    </row>
    <row r="668" spans="1:12" hidden="1" x14ac:dyDescent="0.25">
      <c r="A668">
        <v>0</v>
      </c>
      <c r="B668" t="s">
        <v>244</v>
      </c>
      <c r="C668" s="18">
        <v>45658</v>
      </c>
      <c r="D668" t="str">
        <f>"8366"</f>
        <v>8366</v>
      </c>
      <c r="E668" s="18">
        <v>45386</v>
      </c>
      <c r="F668" t="s">
        <v>1300</v>
      </c>
      <c r="G668" t="s">
        <v>247</v>
      </c>
      <c r="H668" t="s">
        <v>1301</v>
      </c>
      <c r="L668" s="35">
        <v>206800</v>
      </c>
    </row>
    <row r="669" spans="1:12" hidden="1" x14ac:dyDescent="0.25">
      <c r="A669">
        <v>0</v>
      </c>
      <c r="B669" t="s">
        <v>244</v>
      </c>
      <c r="C669" s="18">
        <v>45658</v>
      </c>
      <c r="D669" t="str">
        <f>"8367"</f>
        <v>8367</v>
      </c>
      <c r="E669" s="18">
        <v>45386</v>
      </c>
      <c r="F669" t="s">
        <v>1302</v>
      </c>
      <c r="G669" t="s">
        <v>247</v>
      </c>
      <c r="H669" t="s">
        <v>1303</v>
      </c>
      <c r="L669" s="35">
        <v>216480</v>
      </c>
    </row>
    <row r="670" spans="1:12" hidden="1" x14ac:dyDescent="0.25">
      <c r="A670">
        <v>0</v>
      </c>
      <c r="B670" t="s">
        <v>244</v>
      </c>
      <c r="C670" s="18">
        <v>45658</v>
      </c>
      <c r="D670" t="str">
        <f>"8368"</f>
        <v>8368</v>
      </c>
      <c r="E670" s="18">
        <v>45386</v>
      </c>
      <c r="F670" t="s">
        <v>1304</v>
      </c>
      <c r="G670" t="s">
        <v>247</v>
      </c>
      <c r="H670" t="s">
        <v>1305</v>
      </c>
      <c r="L670" s="35">
        <v>394720</v>
      </c>
    </row>
    <row r="671" spans="1:12" hidden="1" x14ac:dyDescent="0.25">
      <c r="A671">
        <v>0</v>
      </c>
      <c r="B671" t="s">
        <v>244</v>
      </c>
      <c r="C671" s="18">
        <v>45658</v>
      </c>
      <c r="D671" t="str">
        <f>"8369"</f>
        <v>8369</v>
      </c>
      <c r="E671" s="18">
        <v>45387</v>
      </c>
      <c r="F671" t="str">
        <f>"17588"</f>
        <v>17588</v>
      </c>
      <c r="G671" t="s">
        <v>247</v>
      </c>
      <c r="H671" t="s">
        <v>1306</v>
      </c>
      <c r="L671" s="35">
        <v>30400</v>
      </c>
    </row>
    <row r="672" spans="1:12" hidden="1" x14ac:dyDescent="0.25">
      <c r="A672">
        <v>0</v>
      </c>
      <c r="B672" t="s">
        <v>244</v>
      </c>
      <c r="C672" s="18">
        <v>45658</v>
      </c>
      <c r="D672" t="str">
        <f>"8370"</f>
        <v>8370</v>
      </c>
      <c r="E672" s="18">
        <v>45387</v>
      </c>
      <c r="F672" t="s">
        <v>1307</v>
      </c>
      <c r="G672" t="s">
        <v>247</v>
      </c>
      <c r="H672" t="s">
        <v>1308</v>
      </c>
      <c r="L672" s="35">
        <v>205320</v>
      </c>
    </row>
    <row r="673" spans="1:12" hidden="1" x14ac:dyDescent="0.25">
      <c r="A673">
        <v>0</v>
      </c>
      <c r="B673" t="s">
        <v>244</v>
      </c>
      <c r="C673" s="18">
        <v>45658</v>
      </c>
      <c r="D673" t="str">
        <f>"8371"</f>
        <v>8371</v>
      </c>
      <c r="E673" s="18">
        <v>45392</v>
      </c>
      <c r="F673" t="s">
        <v>1309</v>
      </c>
      <c r="G673" t="s">
        <v>247</v>
      </c>
      <c r="H673" t="s">
        <v>1310</v>
      </c>
      <c r="L673" s="35">
        <v>81760</v>
      </c>
    </row>
    <row r="674" spans="1:12" hidden="1" x14ac:dyDescent="0.25">
      <c r="A674">
        <v>0</v>
      </c>
      <c r="B674" t="s">
        <v>244</v>
      </c>
      <c r="C674" s="18">
        <v>45658</v>
      </c>
      <c r="D674" t="str">
        <f>"8372"</f>
        <v>8372</v>
      </c>
      <c r="E674" s="18">
        <v>45392</v>
      </c>
      <c r="F674" t="s">
        <v>1311</v>
      </c>
      <c r="G674" t="s">
        <v>247</v>
      </c>
      <c r="H674" t="s">
        <v>1312</v>
      </c>
      <c r="L674" s="35">
        <v>29680</v>
      </c>
    </row>
    <row r="675" spans="1:12" hidden="1" x14ac:dyDescent="0.25">
      <c r="A675">
        <v>0</v>
      </c>
      <c r="B675" t="s">
        <v>244</v>
      </c>
      <c r="C675" s="18">
        <v>45658</v>
      </c>
      <c r="D675" t="str">
        <f>"8373"</f>
        <v>8373</v>
      </c>
      <c r="E675" s="18">
        <v>45392</v>
      </c>
      <c r="F675" t="str">
        <f>"280224"</f>
        <v>280224</v>
      </c>
      <c r="G675" t="s">
        <v>247</v>
      </c>
      <c r="H675" t="s">
        <v>1313</v>
      </c>
      <c r="L675" s="35">
        <v>20800</v>
      </c>
    </row>
    <row r="676" spans="1:12" hidden="1" x14ac:dyDescent="0.25">
      <c r="A676">
        <v>0</v>
      </c>
      <c r="B676" t="s">
        <v>244</v>
      </c>
      <c r="C676" s="18">
        <v>45658</v>
      </c>
      <c r="D676" t="str">
        <f>"8374"</f>
        <v>8374</v>
      </c>
      <c r="E676" s="18">
        <v>45392</v>
      </c>
      <c r="F676" t="s">
        <v>1314</v>
      </c>
      <c r="G676" t="s">
        <v>247</v>
      </c>
      <c r="H676" t="s">
        <v>1315</v>
      </c>
      <c r="L676" s="35">
        <v>26160</v>
      </c>
    </row>
    <row r="677" spans="1:12" hidden="1" x14ac:dyDescent="0.25">
      <c r="A677">
        <v>0</v>
      </c>
      <c r="B677" t="s">
        <v>244</v>
      </c>
      <c r="C677" s="18">
        <v>45658</v>
      </c>
      <c r="D677" t="str">
        <f>"8375"</f>
        <v>8375</v>
      </c>
      <c r="E677" s="18">
        <v>45392</v>
      </c>
      <c r="F677" t="s">
        <v>1316</v>
      </c>
      <c r="G677" t="s">
        <v>247</v>
      </c>
      <c r="H677" t="s">
        <v>1317</v>
      </c>
      <c r="L677" s="35">
        <v>73360</v>
      </c>
    </row>
    <row r="678" spans="1:12" hidden="1" x14ac:dyDescent="0.25">
      <c r="A678">
        <v>0</v>
      </c>
      <c r="B678" t="s">
        <v>244</v>
      </c>
      <c r="C678" s="18">
        <v>45658</v>
      </c>
      <c r="D678" t="str">
        <f>"8376"</f>
        <v>8376</v>
      </c>
      <c r="E678" s="18">
        <v>45392</v>
      </c>
      <c r="F678" t="s">
        <v>1318</v>
      </c>
      <c r="G678" t="s">
        <v>247</v>
      </c>
      <c r="H678" t="s">
        <v>1319</v>
      </c>
      <c r="L678" s="35">
        <v>293600</v>
      </c>
    </row>
    <row r="679" spans="1:12" hidden="1" x14ac:dyDescent="0.25">
      <c r="A679">
        <v>0</v>
      </c>
      <c r="B679" t="s">
        <v>244</v>
      </c>
      <c r="C679" s="18">
        <v>45658</v>
      </c>
      <c r="D679" t="str">
        <f>"8377"</f>
        <v>8377</v>
      </c>
      <c r="E679" s="18">
        <v>45392</v>
      </c>
      <c r="F679" t="s">
        <v>1320</v>
      </c>
      <c r="G679" t="s">
        <v>247</v>
      </c>
      <c r="H679" t="s">
        <v>1321</v>
      </c>
      <c r="L679" s="35">
        <v>29040</v>
      </c>
    </row>
    <row r="680" spans="1:12" hidden="1" x14ac:dyDescent="0.25">
      <c r="A680">
        <v>0</v>
      </c>
      <c r="B680" t="s">
        <v>244</v>
      </c>
      <c r="C680" s="18">
        <v>45658</v>
      </c>
      <c r="D680" t="str">
        <f>"8378"</f>
        <v>8378</v>
      </c>
      <c r="E680" s="18">
        <v>45393</v>
      </c>
      <c r="F680" t="s">
        <v>1322</v>
      </c>
      <c r="G680" t="s">
        <v>247</v>
      </c>
      <c r="H680" t="s">
        <v>1323</v>
      </c>
      <c r="L680" s="35">
        <v>24000</v>
      </c>
    </row>
    <row r="681" spans="1:12" hidden="1" x14ac:dyDescent="0.25">
      <c r="A681">
        <v>0</v>
      </c>
      <c r="B681" t="s">
        <v>244</v>
      </c>
      <c r="C681" s="18">
        <v>45658</v>
      </c>
      <c r="D681" t="str">
        <f>"8379"</f>
        <v>8379</v>
      </c>
      <c r="E681" s="18">
        <v>45394</v>
      </c>
      <c r="F681" t="s">
        <v>1324</v>
      </c>
      <c r="G681" t="s">
        <v>247</v>
      </c>
      <c r="H681" t="s">
        <v>1325</v>
      </c>
      <c r="L681" s="35">
        <v>32400</v>
      </c>
    </row>
    <row r="682" spans="1:12" hidden="1" x14ac:dyDescent="0.25">
      <c r="A682">
        <v>0</v>
      </c>
      <c r="B682" t="s">
        <v>244</v>
      </c>
      <c r="C682" s="18">
        <v>45658</v>
      </c>
      <c r="D682" t="str">
        <f>"8380"</f>
        <v>8380</v>
      </c>
      <c r="E682" s="18">
        <v>45397</v>
      </c>
      <c r="F682" s="32">
        <v>45352</v>
      </c>
      <c r="G682" t="s">
        <v>247</v>
      </c>
      <c r="H682" t="s">
        <v>1326</v>
      </c>
      <c r="L682" s="35">
        <v>89760</v>
      </c>
    </row>
    <row r="683" spans="1:12" hidden="1" x14ac:dyDescent="0.25">
      <c r="A683">
        <v>0</v>
      </c>
      <c r="B683" t="s">
        <v>244</v>
      </c>
      <c r="C683" s="18">
        <v>45658</v>
      </c>
      <c r="D683" t="str">
        <f>"8381"</f>
        <v>8381</v>
      </c>
      <c r="E683" t="str">
        <f>"00013068"</f>
        <v>00013068</v>
      </c>
      <c r="G683" t="s">
        <v>247</v>
      </c>
      <c r="H683" t="s">
        <v>1327</v>
      </c>
      <c r="L683" s="35">
        <v>17091425.82</v>
      </c>
    </row>
    <row r="684" spans="1:12" hidden="1" x14ac:dyDescent="0.25">
      <c r="A684">
        <v>0</v>
      </c>
      <c r="B684" t="s">
        <v>244</v>
      </c>
      <c r="C684" s="18">
        <v>45658</v>
      </c>
      <c r="D684" t="str">
        <f>"8382"</f>
        <v>8382</v>
      </c>
      <c r="E684" s="18">
        <v>45398</v>
      </c>
      <c r="F684" t="s">
        <v>1328</v>
      </c>
      <c r="G684" t="s">
        <v>247</v>
      </c>
      <c r="H684" t="s">
        <v>1329</v>
      </c>
      <c r="L684" s="35">
        <v>425760</v>
      </c>
    </row>
    <row r="685" spans="1:12" hidden="1" x14ac:dyDescent="0.25">
      <c r="A685">
        <v>0</v>
      </c>
      <c r="B685" t="s">
        <v>244</v>
      </c>
      <c r="C685" s="18">
        <v>45658</v>
      </c>
      <c r="D685" t="str">
        <f>"8383"</f>
        <v>8383</v>
      </c>
      <c r="E685" s="18">
        <v>45399</v>
      </c>
      <c r="F685" t="s">
        <v>1330</v>
      </c>
      <c r="G685" t="s">
        <v>247</v>
      </c>
      <c r="H685" t="s">
        <v>1331</v>
      </c>
      <c r="L685" s="35">
        <v>52080</v>
      </c>
    </row>
    <row r="686" spans="1:12" hidden="1" x14ac:dyDescent="0.25">
      <c r="A686">
        <v>0</v>
      </c>
      <c r="B686" t="s">
        <v>244</v>
      </c>
      <c r="C686" s="18">
        <v>45658</v>
      </c>
      <c r="D686" t="str">
        <f>"8384"</f>
        <v>8384</v>
      </c>
      <c r="E686" s="18">
        <v>45399</v>
      </c>
      <c r="F686" t="str">
        <f>"334195"</f>
        <v>334195</v>
      </c>
      <c r="G686" t="s">
        <v>247</v>
      </c>
      <c r="H686" t="s">
        <v>1332</v>
      </c>
      <c r="L686" s="35">
        <v>600000</v>
      </c>
    </row>
    <row r="687" spans="1:12" hidden="1" x14ac:dyDescent="0.25">
      <c r="A687">
        <v>0</v>
      </c>
      <c r="B687" t="s">
        <v>244</v>
      </c>
      <c r="C687" s="18">
        <v>45658</v>
      </c>
      <c r="D687" t="str">
        <f>"8385"</f>
        <v>8385</v>
      </c>
      <c r="E687" s="18">
        <v>45401</v>
      </c>
      <c r="F687" t="str">
        <f>"9608"</f>
        <v>9608</v>
      </c>
      <c r="G687" t="s">
        <v>247</v>
      </c>
      <c r="H687" t="s">
        <v>1333</v>
      </c>
      <c r="L687" s="35">
        <v>567360</v>
      </c>
    </row>
    <row r="688" spans="1:12" hidden="1" x14ac:dyDescent="0.25">
      <c r="A688">
        <v>0</v>
      </c>
      <c r="B688" t="s">
        <v>244</v>
      </c>
      <c r="C688" s="18">
        <v>45658</v>
      </c>
      <c r="D688" t="str">
        <f>"8386"</f>
        <v>8386</v>
      </c>
      <c r="E688" s="18">
        <v>45401</v>
      </c>
      <c r="F688" t="s">
        <v>1334</v>
      </c>
      <c r="G688" t="s">
        <v>247</v>
      </c>
      <c r="H688" t="s">
        <v>1335</v>
      </c>
      <c r="L688" s="35">
        <v>24000</v>
      </c>
    </row>
    <row r="689" spans="1:12" hidden="1" x14ac:dyDescent="0.25">
      <c r="A689">
        <v>0</v>
      </c>
      <c r="B689" t="s">
        <v>244</v>
      </c>
      <c r="C689" s="18">
        <v>45658</v>
      </c>
      <c r="D689" t="str">
        <f>"8387"</f>
        <v>8387</v>
      </c>
      <c r="E689" s="18">
        <v>45402</v>
      </c>
      <c r="F689" t="str">
        <f>"17785"</f>
        <v>17785</v>
      </c>
      <c r="G689" t="s">
        <v>247</v>
      </c>
      <c r="H689" t="s">
        <v>1336</v>
      </c>
      <c r="L689" s="35">
        <v>80000</v>
      </c>
    </row>
    <row r="690" spans="1:12" hidden="1" x14ac:dyDescent="0.25">
      <c r="A690">
        <v>0</v>
      </c>
      <c r="B690" t="s">
        <v>244</v>
      </c>
      <c r="C690" s="18">
        <v>45658</v>
      </c>
      <c r="D690" t="str">
        <f>"8388"</f>
        <v>8388</v>
      </c>
      <c r="E690" s="18">
        <v>45408</v>
      </c>
      <c r="F690" t="s">
        <v>1337</v>
      </c>
      <c r="G690" t="s">
        <v>247</v>
      </c>
      <c r="H690" t="s">
        <v>1338</v>
      </c>
      <c r="L690" s="35">
        <v>374600</v>
      </c>
    </row>
    <row r="691" spans="1:12" hidden="1" x14ac:dyDescent="0.25">
      <c r="A691">
        <v>0</v>
      </c>
      <c r="B691" t="s">
        <v>244</v>
      </c>
      <c r="C691" s="18">
        <v>45658</v>
      </c>
      <c r="D691" t="str">
        <f>"8389"</f>
        <v>8389</v>
      </c>
      <c r="E691" s="18">
        <v>45414</v>
      </c>
      <c r="F691" t="str">
        <f>"245403"</f>
        <v>245403</v>
      </c>
      <c r="G691" t="s">
        <v>247</v>
      </c>
      <c r="H691" t="s">
        <v>1339</v>
      </c>
      <c r="L691" s="35">
        <v>40880</v>
      </c>
    </row>
    <row r="692" spans="1:12" hidden="1" x14ac:dyDescent="0.25">
      <c r="A692">
        <v>0</v>
      </c>
      <c r="B692" t="s">
        <v>244</v>
      </c>
      <c r="C692" s="18">
        <v>45658</v>
      </c>
      <c r="D692" t="str">
        <f>"8390"</f>
        <v>8390</v>
      </c>
      <c r="E692" s="18">
        <v>45419</v>
      </c>
      <c r="F692" t="s">
        <v>1340</v>
      </c>
      <c r="G692" t="s">
        <v>247</v>
      </c>
      <c r="H692" t="s">
        <v>1341</v>
      </c>
      <c r="L692" s="35">
        <v>12000</v>
      </c>
    </row>
    <row r="693" spans="1:12" hidden="1" x14ac:dyDescent="0.25">
      <c r="A693">
        <v>0</v>
      </c>
      <c r="B693" t="s">
        <v>244</v>
      </c>
      <c r="C693" s="18">
        <v>45658</v>
      </c>
      <c r="D693" t="str">
        <f>"8391"</f>
        <v>8391</v>
      </c>
      <c r="E693" s="18">
        <v>45421</v>
      </c>
      <c r="F693" t="s">
        <v>1342</v>
      </c>
      <c r="G693" t="s">
        <v>247</v>
      </c>
      <c r="H693" t="s">
        <v>1343</v>
      </c>
      <c r="L693" s="35">
        <v>1109360</v>
      </c>
    </row>
    <row r="694" spans="1:12" hidden="1" x14ac:dyDescent="0.25">
      <c r="A694">
        <v>0</v>
      </c>
      <c r="B694" t="s">
        <v>244</v>
      </c>
      <c r="C694" s="18">
        <v>45658</v>
      </c>
      <c r="D694" t="str">
        <f>"8392"</f>
        <v>8392</v>
      </c>
      <c r="E694" s="18">
        <v>45422</v>
      </c>
      <c r="G694" t="s">
        <v>247</v>
      </c>
      <c r="H694" t="s">
        <v>1344</v>
      </c>
      <c r="L694" s="35">
        <v>8807988.8100000005</v>
      </c>
    </row>
    <row r="695" spans="1:12" hidden="1" x14ac:dyDescent="0.25">
      <c r="A695">
        <v>0</v>
      </c>
      <c r="B695" t="s">
        <v>244</v>
      </c>
      <c r="C695" s="18">
        <v>45658</v>
      </c>
      <c r="D695" t="str">
        <f>"8393"</f>
        <v>8393</v>
      </c>
      <c r="E695" s="18">
        <v>45425</v>
      </c>
      <c r="F695" t="str">
        <f>"165987"</f>
        <v>165987</v>
      </c>
      <c r="G695" t="s">
        <v>247</v>
      </c>
      <c r="H695" t="s">
        <v>1345</v>
      </c>
      <c r="L695" s="35">
        <v>62560</v>
      </c>
    </row>
    <row r="696" spans="1:12" hidden="1" x14ac:dyDescent="0.25">
      <c r="A696">
        <v>0</v>
      </c>
      <c r="B696" t="s">
        <v>244</v>
      </c>
      <c r="C696" s="18">
        <v>45658</v>
      </c>
      <c r="D696" t="str">
        <f>"8394"</f>
        <v>8394</v>
      </c>
      <c r="E696" s="18">
        <v>45426</v>
      </c>
      <c r="F696" t="s">
        <v>1346</v>
      </c>
      <c r="G696" t="s">
        <v>247</v>
      </c>
      <c r="H696" t="s">
        <v>1347</v>
      </c>
      <c r="L696" s="35">
        <v>131680</v>
      </c>
    </row>
    <row r="697" spans="1:12" hidden="1" x14ac:dyDescent="0.25">
      <c r="A697">
        <v>0</v>
      </c>
      <c r="B697" t="s">
        <v>244</v>
      </c>
      <c r="C697" s="18">
        <v>45658</v>
      </c>
      <c r="D697" t="str">
        <f>"8395"</f>
        <v>8395</v>
      </c>
      <c r="E697" s="18">
        <v>45427</v>
      </c>
      <c r="F697" t="str">
        <f>"01616"</f>
        <v>01616</v>
      </c>
      <c r="G697" t="s">
        <v>247</v>
      </c>
      <c r="H697" t="s">
        <v>1348</v>
      </c>
      <c r="L697" s="35">
        <v>691200</v>
      </c>
    </row>
    <row r="698" spans="1:12" hidden="1" x14ac:dyDescent="0.25">
      <c r="A698">
        <v>0</v>
      </c>
      <c r="B698" t="s">
        <v>244</v>
      </c>
      <c r="C698" s="18">
        <v>45658</v>
      </c>
      <c r="D698" t="str">
        <f>"8396"</f>
        <v>8396</v>
      </c>
      <c r="E698" s="18">
        <v>45427</v>
      </c>
      <c r="F698" t="str">
        <f>"1306"</f>
        <v>1306</v>
      </c>
      <c r="G698" t="s">
        <v>247</v>
      </c>
      <c r="H698" t="s">
        <v>1349</v>
      </c>
      <c r="L698" s="35">
        <v>904000</v>
      </c>
    </row>
    <row r="699" spans="1:12" hidden="1" x14ac:dyDescent="0.25">
      <c r="A699">
        <v>0</v>
      </c>
      <c r="B699" t="s">
        <v>244</v>
      </c>
      <c r="C699" s="18">
        <v>45658</v>
      </c>
      <c r="D699" t="str">
        <f>"8397"</f>
        <v>8397</v>
      </c>
      <c r="E699" s="18">
        <v>45427</v>
      </c>
      <c r="F699" t="s">
        <v>1350</v>
      </c>
      <c r="G699" t="s">
        <v>247</v>
      </c>
      <c r="H699" t="s">
        <v>1351</v>
      </c>
      <c r="L699" s="35">
        <v>111840</v>
      </c>
    </row>
    <row r="700" spans="1:12" hidden="1" x14ac:dyDescent="0.25">
      <c r="A700">
        <v>0</v>
      </c>
      <c r="B700" t="s">
        <v>244</v>
      </c>
      <c r="C700" s="18">
        <v>45658</v>
      </c>
      <c r="D700" t="str">
        <f>"8398"</f>
        <v>8398</v>
      </c>
      <c r="E700" s="18">
        <v>45429</v>
      </c>
      <c r="F700" t="str">
        <f>"17984"</f>
        <v>17984</v>
      </c>
      <c r="G700" t="s">
        <v>247</v>
      </c>
      <c r="H700" t="s">
        <v>1352</v>
      </c>
      <c r="L700" s="35">
        <v>40000</v>
      </c>
    </row>
    <row r="701" spans="1:12" hidden="1" x14ac:dyDescent="0.25">
      <c r="A701">
        <v>0</v>
      </c>
      <c r="B701" t="s">
        <v>244</v>
      </c>
      <c r="C701" s="18">
        <v>45658</v>
      </c>
      <c r="D701" t="str">
        <f>"8399"</f>
        <v>8399</v>
      </c>
      <c r="E701" s="18">
        <v>45444</v>
      </c>
      <c r="F701" t="str">
        <f>"18140"</f>
        <v>18140</v>
      </c>
      <c r="G701" t="s">
        <v>247</v>
      </c>
      <c r="H701" t="s">
        <v>1353</v>
      </c>
      <c r="L701" s="35">
        <v>157152</v>
      </c>
    </row>
    <row r="702" spans="1:12" hidden="1" x14ac:dyDescent="0.25">
      <c r="A702">
        <v>0</v>
      </c>
      <c r="B702" t="s">
        <v>244</v>
      </c>
      <c r="C702" s="18">
        <v>45658</v>
      </c>
      <c r="D702" t="str">
        <f>"8400"</f>
        <v>8400</v>
      </c>
      <c r="E702" s="18">
        <v>45446</v>
      </c>
      <c r="F702" t="s">
        <v>1354</v>
      </c>
      <c r="G702" t="s">
        <v>247</v>
      </c>
      <c r="H702" t="s">
        <v>1355</v>
      </c>
      <c r="L702" s="35">
        <v>1600000</v>
      </c>
    </row>
    <row r="703" spans="1:12" hidden="1" x14ac:dyDescent="0.25">
      <c r="A703">
        <v>0</v>
      </c>
      <c r="B703" t="s">
        <v>244</v>
      </c>
      <c r="C703" s="18">
        <v>45658</v>
      </c>
      <c r="D703" t="str">
        <f>"8401"</f>
        <v>8401</v>
      </c>
      <c r="E703" s="18">
        <v>45447</v>
      </c>
      <c r="F703" t="s">
        <v>1356</v>
      </c>
      <c r="G703" t="s">
        <v>247</v>
      </c>
      <c r="H703" t="s">
        <v>1357</v>
      </c>
      <c r="L703" s="35">
        <v>643920</v>
      </c>
    </row>
    <row r="704" spans="1:12" hidden="1" x14ac:dyDescent="0.25">
      <c r="A704">
        <v>0</v>
      </c>
      <c r="B704" t="s">
        <v>244</v>
      </c>
      <c r="C704" s="18">
        <v>45658</v>
      </c>
      <c r="D704" t="str">
        <f>"8402"</f>
        <v>8402</v>
      </c>
      <c r="E704" s="18">
        <v>45447</v>
      </c>
      <c r="F704" t="str">
        <f>"01703"</f>
        <v>01703</v>
      </c>
      <c r="G704" t="s">
        <v>247</v>
      </c>
      <c r="H704" t="s">
        <v>1358</v>
      </c>
      <c r="L704" s="35">
        <v>524000</v>
      </c>
    </row>
    <row r="705" spans="1:12" hidden="1" x14ac:dyDescent="0.25">
      <c r="A705">
        <v>0</v>
      </c>
      <c r="B705" t="s">
        <v>244</v>
      </c>
      <c r="C705" s="18">
        <v>45658</v>
      </c>
      <c r="D705" t="str">
        <f>"8403"</f>
        <v>8403</v>
      </c>
      <c r="E705" s="18">
        <v>45447</v>
      </c>
      <c r="F705" t="str">
        <f>"1427"</f>
        <v>1427</v>
      </c>
      <c r="G705" t="s">
        <v>247</v>
      </c>
      <c r="H705" t="s">
        <v>1359</v>
      </c>
      <c r="L705" s="35">
        <v>640000</v>
      </c>
    </row>
    <row r="706" spans="1:12" hidden="1" x14ac:dyDescent="0.25">
      <c r="A706">
        <v>0</v>
      </c>
      <c r="B706" t="s">
        <v>244</v>
      </c>
      <c r="C706" s="18">
        <v>45658</v>
      </c>
      <c r="D706" t="str">
        <f>"8404"</f>
        <v>8404</v>
      </c>
      <c r="E706" s="18">
        <v>45447</v>
      </c>
      <c r="F706" t="s">
        <v>1360</v>
      </c>
      <c r="G706" t="s">
        <v>247</v>
      </c>
      <c r="H706" t="s">
        <v>1361</v>
      </c>
      <c r="L706" s="35">
        <v>632400</v>
      </c>
    </row>
    <row r="707" spans="1:12" hidden="1" x14ac:dyDescent="0.25">
      <c r="A707">
        <v>0</v>
      </c>
      <c r="B707" t="s">
        <v>244</v>
      </c>
      <c r="C707" s="18">
        <v>45658</v>
      </c>
      <c r="D707" t="str">
        <f>"8405"</f>
        <v>8405</v>
      </c>
      <c r="E707" s="18">
        <v>45447</v>
      </c>
      <c r="F707" t="s">
        <v>1362</v>
      </c>
      <c r="G707" t="s">
        <v>247</v>
      </c>
      <c r="H707" t="s">
        <v>1363</v>
      </c>
      <c r="L707" s="35">
        <v>87600</v>
      </c>
    </row>
    <row r="708" spans="1:12" hidden="1" x14ac:dyDescent="0.25">
      <c r="A708">
        <v>0</v>
      </c>
      <c r="B708" t="s">
        <v>244</v>
      </c>
      <c r="C708" s="18">
        <v>45658</v>
      </c>
      <c r="D708" t="str">
        <f>"8406"</f>
        <v>8406</v>
      </c>
      <c r="E708" s="18">
        <v>45448</v>
      </c>
      <c r="F708" t="str">
        <f>"181023"</f>
        <v>181023</v>
      </c>
      <c r="G708" t="s">
        <v>247</v>
      </c>
      <c r="H708" t="s">
        <v>1364</v>
      </c>
      <c r="L708" s="35">
        <v>130000</v>
      </c>
    </row>
    <row r="709" spans="1:12" hidden="1" x14ac:dyDescent="0.25">
      <c r="A709">
        <v>0</v>
      </c>
      <c r="B709" t="s">
        <v>244</v>
      </c>
      <c r="C709" s="18">
        <v>45658</v>
      </c>
      <c r="D709" t="str">
        <f>"8407"</f>
        <v>8407</v>
      </c>
      <c r="E709" s="18">
        <v>45448</v>
      </c>
      <c r="F709" s="32">
        <v>45200</v>
      </c>
      <c r="G709" t="s">
        <v>247</v>
      </c>
      <c r="H709" t="s">
        <v>1365</v>
      </c>
      <c r="L709" s="35">
        <v>16000</v>
      </c>
    </row>
    <row r="710" spans="1:12" hidden="1" x14ac:dyDescent="0.25">
      <c r="A710">
        <v>0</v>
      </c>
      <c r="B710" t="s">
        <v>244</v>
      </c>
      <c r="C710" s="18">
        <v>45658</v>
      </c>
      <c r="D710" t="str">
        <f>"8408"</f>
        <v>8408</v>
      </c>
      <c r="E710" s="18">
        <v>45448</v>
      </c>
      <c r="F710" t="str">
        <f>"247582"</f>
        <v>247582</v>
      </c>
      <c r="G710" t="s">
        <v>247</v>
      </c>
      <c r="H710" t="s">
        <v>1366</v>
      </c>
      <c r="L710" s="35">
        <v>92800</v>
      </c>
    </row>
    <row r="711" spans="1:12" hidden="1" x14ac:dyDescent="0.25">
      <c r="A711">
        <v>0</v>
      </c>
      <c r="B711" t="s">
        <v>244</v>
      </c>
      <c r="C711" s="18">
        <v>45658</v>
      </c>
      <c r="D711" t="str">
        <f>"8409"</f>
        <v>8409</v>
      </c>
      <c r="E711" s="18">
        <v>45449</v>
      </c>
      <c r="F711" s="18">
        <v>45385</v>
      </c>
      <c r="G711" t="s">
        <v>247</v>
      </c>
      <c r="H711" t="s">
        <v>1367</v>
      </c>
      <c r="L711" s="35">
        <v>80000</v>
      </c>
    </row>
    <row r="712" spans="1:12" hidden="1" x14ac:dyDescent="0.25">
      <c r="A712">
        <v>0</v>
      </c>
      <c r="B712" t="s">
        <v>244</v>
      </c>
      <c r="C712" s="18">
        <v>45658</v>
      </c>
      <c r="D712" t="str">
        <f>"8410"</f>
        <v>8410</v>
      </c>
      <c r="E712" s="18">
        <v>45450</v>
      </c>
      <c r="F712" s="18">
        <v>45266</v>
      </c>
      <c r="G712" t="s">
        <v>247</v>
      </c>
      <c r="H712" t="s">
        <v>1368</v>
      </c>
      <c r="L712" s="35">
        <v>1692000</v>
      </c>
    </row>
    <row r="713" spans="1:12" hidden="1" x14ac:dyDescent="0.25">
      <c r="A713">
        <v>0</v>
      </c>
      <c r="B713" t="s">
        <v>244</v>
      </c>
      <c r="C713" s="18">
        <v>45658</v>
      </c>
      <c r="D713" t="str">
        <f>"8411"</f>
        <v>8411</v>
      </c>
      <c r="E713" s="18">
        <v>45450</v>
      </c>
      <c r="G713" t="s">
        <v>247</v>
      </c>
      <c r="H713" t="s">
        <v>1369</v>
      </c>
      <c r="L713" s="35">
        <v>5310559.2300000004</v>
      </c>
    </row>
    <row r="714" spans="1:12" hidden="1" x14ac:dyDescent="0.25">
      <c r="A714">
        <v>0</v>
      </c>
      <c r="B714" t="s">
        <v>244</v>
      </c>
      <c r="C714" s="18">
        <v>45658</v>
      </c>
      <c r="D714" t="str">
        <f>"8412"</f>
        <v>8412</v>
      </c>
      <c r="E714" s="18">
        <v>45450</v>
      </c>
      <c r="F714" t="s">
        <v>1370</v>
      </c>
      <c r="G714" t="s">
        <v>247</v>
      </c>
      <c r="H714" t="s">
        <v>1371</v>
      </c>
      <c r="L714" s="35">
        <v>164880</v>
      </c>
    </row>
    <row r="715" spans="1:12" hidden="1" x14ac:dyDescent="0.25">
      <c r="A715">
        <v>0</v>
      </c>
      <c r="B715" t="s">
        <v>244</v>
      </c>
      <c r="C715" s="18">
        <v>45658</v>
      </c>
      <c r="D715" t="str">
        <f>"8413"</f>
        <v>8413</v>
      </c>
      <c r="E715" s="18">
        <v>45450</v>
      </c>
      <c r="F715" t="s">
        <v>1372</v>
      </c>
      <c r="G715" t="s">
        <v>247</v>
      </c>
      <c r="H715" t="s">
        <v>1373</v>
      </c>
      <c r="L715" s="35">
        <v>292720</v>
      </c>
    </row>
    <row r="716" spans="1:12" hidden="1" x14ac:dyDescent="0.25">
      <c r="A716">
        <v>0</v>
      </c>
      <c r="B716" t="s">
        <v>244</v>
      </c>
      <c r="C716" s="18">
        <v>45658</v>
      </c>
      <c r="D716" t="str">
        <f>"8414"</f>
        <v>8414</v>
      </c>
      <c r="E716" s="18">
        <v>45453</v>
      </c>
      <c r="F716" t="s">
        <v>1374</v>
      </c>
      <c r="G716" t="s">
        <v>247</v>
      </c>
      <c r="H716" t="s">
        <v>1375</v>
      </c>
      <c r="L716" s="35">
        <v>105360</v>
      </c>
    </row>
    <row r="717" spans="1:12" hidden="1" x14ac:dyDescent="0.25">
      <c r="A717">
        <v>0</v>
      </c>
      <c r="B717" t="s">
        <v>244</v>
      </c>
      <c r="C717" s="18">
        <v>45658</v>
      </c>
      <c r="D717" t="str">
        <f>"8415"</f>
        <v>8415</v>
      </c>
      <c r="E717" s="18">
        <v>45453</v>
      </c>
      <c r="F717" t="s">
        <v>1376</v>
      </c>
      <c r="G717" t="s">
        <v>247</v>
      </c>
      <c r="H717" t="s">
        <v>1377</v>
      </c>
      <c r="L717" s="35">
        <v>207840</v>
      </c>
    </row>
    <row r="718" spans="1:12" hidden="1" x14ac:dyDescent="0.25">
      <c r="A718">
        <v>0</v>
      </c>
      <c r="B718" t="s">
        <v>244</v>
      </c>
      <c r="C718" s="18">
        <v>45658</v>
      </c>
      <c r="D718" t="str">
        <f>"8416"</f>
        <v>8416</v>
      </c>
      <c r="E718" s="18">
        <v>45454</v>
      </c>
      <c r="F718" t="str">
        <f>"240655"</f>
        <v>240655</v>
      </c>
      <c r="G718" t="s">
        <v>247</v>
      </c>
      <c r="H718" t="s">
        <v>1378</v>
      </c>
      <c r="L718" s="35">
        <v>28240</v>
      </c>
    </row>
    <row r="719" spans="1:12" hidden="1" x14ac:dyDescent="0.25">
      <c r="A719">
        <v>0</v>
      </c>
      <c r="B719" t="s">
        <v>244</v>
      </c>
      <c r="C719" s="18">
        <v>45658</v>
      </c>
      <c r="D719" t="str">
        <f>"8417"</f>
        <v>8417</v>
      </c>
      <c r="E719" s="18">
        <v>45455</v>
      </c>
      <c r="F719" t="s">
        <v>1379</v>
      </c>
      <c r="G719" t="s">
        <v>247</v>
      </c>
      <c r="H719" t="s">
        <v>1380</v>
      </c>
      <c r="L719" s="35">
        <v>160080</v>
      </c>
    </row>
    <row r="720" spans="1:12" hidden="1" x14ac:dyDescent="0.25">
      <c r="A720">
        <v>0</v>
      </c>
      <c r="B720" t="s">
        <v>244</v>
      </c>
      <c r="C720" s="18">
        <v>45658</v>
      </c>
      <c r="D720" t="str">
        <f>"8418"</f>
        <v>8418</v>
      </c>
      <c r="E720" s="18">
        <v>45457</v>
      </c>
      <c r="F720" t="str">
        <f>"18276"</f>
        <v>18276</v>
      </c>
      <c r="G720" t="s">
        <v>247</v>
      </c>
      <c r="H720" t="s">
        <v>1381</v>
      </c>
      <c r="L720" s="35">
        <v>305000</v>
      </c>
    </row>
    <row r="721" spans="1:12" hidden="1" x14ac:dyDescent="0.25">
      <c r="A721">
        <v>0</v>
      </c>
      <c r="B721" t="s">
        <v>244</v>
      </c>
      <c r="C721" s="18">
        <v>45658</v>
      </c>
      <c r="D721" t="str">
        <f>"8419"</f>
        <v>8419</v>
      </c>
      <c r="E721" s="18">
        <v>45462</v>
      </c>
      <c r="F721" t="s">
        <v>1382</v>
      </c>
      <c r="G721" t="s">
        <v>247</v>
      </c>
      <c r="H721" t="s">
        <v>1383</v>
      </c>
      <c r="L721" s="35">
        <v>30880</v>
      </c>
    </row>
    <row r="722" spans="1:12" hidden="1" x14ac:dyDescent="0.25">
      <c r="A722">
        <v>0</v>
      </c>
      <c r="B722" t="s">
        <v>244</v>
      </c>
      <c r="C722" s="18">
        <v>45658</v>
      </c>
      <c r="D722" t="str">
        <f>"8420"</f>
        <v>8420</v>
      </c>
      <c r="E722" s="18">
        <v>45462</v>
      </c>
      <c r="F722" t="s">
        <v>1384</v>
      </c>
      <c r="G722" t="s">
        <v>247</v>
      </c>
      <c r="H722" t="s">
        <v>1385</v>
      </c>
      <c r="L722" s="35">
        <v>43120</v>
      </c>
    </row>
    <row r="723" spans="1:12" hidden="1" x14ac:dyDescent="0.25">
      <c r="A723">
        <v>0</v>
      </c>
      <c r="B723" t="s">
        <v>244</v>
      </c>
      <c r="C723" s="18">
        <v>45658</v>
      </c>
      <c r="D723" t="str">
        <f>"8421"</f>
        <v>8421</v>
      </c>
      <c r="E723" s="18">
        <v>45463</v>
      </c>
      <c r="F723" t="s">
        <v>1386</v>
      </c>
      <c r="G723" t="s">
        <v>247</v>
      </c>
      <c r="H723" t="s">
        <v>1387</v>
      </c>
      <c r="L723" s="35">
        <v>1369762</v>
      </c>
    </row>
    <row r="724" spans="1:12" hidden="1" x14ac:dyDescent="0.25">
      <c r="A724">
        <v>0</v>
      </c>
      <c r="B724" t="s">
        <v>244</v>
      </c>
      <c r="C724" s="18">
        <v>45658</v>
      </c>
      <c r="D724" t="str">
        <f>"8422"</f>
        <v>8422</v>
      </c>
      <c r="E724" s="18">
        <v>45463</v>
      </c>
      <c r="F724" t="s">
        <v>1388</v>
      </c>
      <c r="G724" t="s">
        <v>247</v>
      </c>
      <c r="H724" t="s">
        <v>1389</v>
      </c>
      <c r="L724" s="35">
        <v>65440</v>
      </c>
    </row>
    <row r="725" spans="1:12" hidden="1" x14ac:dyDescent="0.25">
      <c r="A725">
        <v>0</v>
      </c>
      <c r="B725" t="s">
        <v>244</v>
      </c>
      <c r="C725" s="18">
        <v>45658</v>
      </c>
      <c r="D725" t="str">
        <f>"8423"</f>
        <v>8423</v>
      </c>
      <c r="E725" s="18">
        <v>45463</v>
      </c>
      <c r="F725" t="str">
        <f>"212422"</f>
        <v>212422</v>
      </c>
      <c r="G725" t="s">
        <v>247</v>
      </c>
      <c r="H725" t="s">
        <v>1390</v>
      </c>
      <c r="L725" s="35">
        <v>45040</v>
      </c>
    </row>
    <row r="726" spans="1:12" hidden="1" x14ac:dyDescent="0.25">
      <c r="A726">
        <v>0</v>
      </c>
      <c r="B726" t="s">
        <v>244</v>
      </c>
      <c r="C726" s="18">
        <v>45658</v>
      </c>
      <c r="D726" t="str">
        <f>"8424"</f>
        <v>8424</v>
      </c>
      <c r="E726" s="18">
        <v>45463</v>
      </c>
      <c r="F726" t="s">
        <v>1391</v>
      </c>
      <c r="G726" t="s">
        <v>247</v>
      </c>
      <c r="H726" t="s">
        <v>1392</v>
      </c>
      <c r="L726" s="35">
        <v>123920</v>
      </c>
    </row>
    <row r="727" spans="1:12" hidden="1" x14ac:dyDescent="0.25">
      <c r="A727">
        <v>0</v>
      </c>
      <c r="B727" t="s">
        <v>244</v>
      </c>
      <c r="C727" s="18">
        <v>45658</v>
      </c>
      <c r="D727" t="str">
        <f>"8425"</f>
        <v>8425</v>
      </c>
      <c r="E727" s="18">
        <v>45464</v>
      </c>
      <c r="F727" t="s">
        <v>1393</v>
      </c>
      <c r="G727" t="s">
        <v>247</v>
      </c>
      <c r="H727" t="s">
        <v>1394</v>
      </c>
      <c r="L727" s="35">
        <v>93600</v>
      </c>
    </row>
    <row r="728" spans="1:12" hidden="1" x14ac:dyDescent="0.25">
      <c r="A728">
        <v>0</v>
      </c>
      <c r="B728" t="s">
        <v>244</v>
      </c>
      <c r="C728" s="18">
        <v>45658</v>
      </c>
      <c r="D728" t="str">
        <f>"8426"</f>
        <v>8426</v>
      </c>
      <c r="E728" s="18">
        <v>45474</v>
      </c>
      <c r="F728" t="str">
        <f>"273"</f>
        <v>273</v>
      </c>
      <c r="G728" t="s">
        <v>247</v>
      </c>
      <c r="H728" t="s">
        <v>1395</v>
      </c>
      <c r="L728" s="35">
        <v>43520</v>
      </c>
    </row>
    <row r="729" spans="1:12" hidden="1" x14ac:dyDescent="0.25">
      <c r="A729">
        <v>0</v>
      </c>
      <c r="B729" t="s">
        <v>250</v>
      </c>
      <c r="C729" s="18">
        <v>45870</v>
      </c>
      <c r="D729" t="str">
        <f>"8426"</f>
        <v>8426</v>
      </c>
      <c r="E729" s="18">
        <v>45870</v>
      </c>
      <c r="F729" t="str">
        <f>"25083"</f>
        <v>25083</v>
      </c>
      <c r="G729" t="s">
        <v>247</v>
      </c>
      <c r="H729" t="s">
        <v>1396</v>
      </c>
      <c r="L729" s="35">
        <v>16000</v>
      </c>
    </row>
    <row r="730" spans="1:12" hidden="1" x14ac:dyDescent="0.25">
      <c r="A730">
        <v>0</v>
      </c>
      <c r="B730" t="s">
        <v>244</v>
      </c>
      <c r="C730" s="18">
        <v>45658</v>
      </c>
      <c r="D730" t="str">
        <f>"8427"</f>
        <v>8427</v>
      </c>
      <c r="E730" s="18">
        <v>45474</v>
      </c>
      <c r="F730" t="str">
        <f>"16202"</f>
        <v>16202</v>
      </c>
      <c r="G730" t="s">
        <v>247</v>
      </c>
      <c r="H730" t="s">
        <v>1397</v>
      </c>
      <c r="L730" s="35">
        <v>600000</v>
      </c>
    </row>
    <row r="731" spans="1:12" hidden="1" x14ac:dyDescent="0.25">
      <c r="A731">
        <v>0</v>
      </c>
      <c r="B731" t="s">
        <v>244</v>
      </c>
      <c r="C731" s="18">
        <v>45658</v>
      </c>
      <c r="D731" t="str">
        <f>"8428"</f>
        <v>8428</v>
      </c>
      <c r="E731" s="18">
        <v>45474</v>
      </c>
      <c r="F731" t="s">
        <v>1398</v>
      </c>
      <c r="G731" t="s">
        <v>247</v>
      </c>
      <c r="H731" t="s">
        <v>1399</v>
      </c>
      <c r="L731" s="35">
        <v>193200</v>
      </c>
    </row>
    <row r="732" spans="1:12" hidden="1" x14ac:dyDescent="0.25">
      <c r="A732">
        <v>0</v>
      </c>
      <c r="B732" t="s">
        <v>244</v>
      </c>
      <c r="C732" s="18">
        <v>45658</v>
      </c>
      <c r="D732" t="str">
        <f>"8429"</f>
        <v>8429</v>
      </c>
      <c r="E732" s="18">
        <v>45474</v>
      </c>
      <c r="F732" t="s">
        <v>1400</v>
      </c>
      <c r="G732" t="s">
        <v>247</v>
      </c>
      <c r="H732" t="s">
        <v>1401</v>
      </c>
      <c r="L732" s="35">
        <v>96000</v>
      </c>
    </row>
    <row r="733" spans="1:12" hidden="1" x14ac:dyDescent="0.25">
      <c r="A733">
        <v>0</v>
      </c>
      <c r="B733" t="s">
        <v>244</v>
      </c>
      <c r="C733" s="18">
        <v>45658</v>
      </c>
      <c r="D733" t="str">
        <f>"8430"</f>
        <v>8430</v>
      </c>
      <c r="E733" s="18">
        <v>45475</v>
      </c>
      <c r="F733" t="str">
        <f>"202406016"</f>
        <v>202406016</v>
      </c>
      <c r="G733" t="s">
        <v>247</v>
      </c>
      <c r="H733" t="s">
        <v>1402</v>
      </c>
      <c r="L733" s="35">
        <v>80000</v>
      </c>
    </row>
    <row r="734" spans="1:12" hidden="1" x14ac:dyDescent="0.25">
      <c r="A734">
        <v>0</v>
      </c>
      <c r="B734" t="s">
        <v>244</v>
      </c>
      <c r="C734" s="18">
        <v>45658</v>
      </c>
      <c r="D734" t="str">
        <f>"8431"</f>
        <v>8431</v>
      </c>
      <c r="E734" s="18">
        <v>45475</v>
      </c>
      <c r="F734" t="s">
        <v>1403</v>
      </c>
      <c r="G734" t="s">
        <v>247</v>
      </c>
      <c r="H734" t="s">
        <v>1404</v>
      </c>
      <c r="L734" s="35">
        <v>12000</v>
      </c>
    </row>
    <row r="735" spans="1:12" hidden="1" x14ac:dyDescent="0.25">
      <c r="A735">
        <v>0</v>
      </c>
      <c r="B735" t="s">
        <v>244</v>
      </c>
      <c r="C735" s="18">
        <v>45658</v>
      </c>
      <c r="D735" t="str">
        <f>"8432"</f>
        <v>8432</v>
      </c>
      <c r="E735" s="18">
        <v>45475</v>
      </c>
      <c r="F735" t="s">
        <v>1405</v>
      </c>
      <c r="G735" t="s">
        <v>247</v>
      </c>
      <c r="H735" t="s">
        <v>1406</v>
      </c>
      <c r="L735" s="35">
        <v>76800</v>
      </c>
    </row>
    <row r="736" spans="1:12" hidden="1" x14ac:dyDescent="0.25">
      <c r="A736">
        <v>0</v>
      </c>
      <c r="B736" t="s">
        <v>244</v>
      </c>
      <c r="C736" s="18">
        <v>45658</v>
      </c>
      <c r="D736" t="str">
        <f>"8433"</f>
        <v>8433</v>
      </c>
      <c r="E736" s="18">
        <v>45475</v>
      </c>
      <c r="F736" t="str">
        <f>"339576"</f>
        <v>339576</v>
      </c>
      <c r="G736" t="s">
        <v>247</v>
      </c>
      <c r="H736" t="s">
        <v>1407</v>
      </c>
      <c r="L736" s="35">
        <v>1328000</v>
      </c>
    </row>
    <row r="737" spans="1:12" hidden="1" x14ac:dyDescent="0.25">
      <c r="A737">
        <v>0</v>
      </c>
      <c r="B737" t="s">
        <v>244</v>
      </c>
      <c r="C737" s="18">
        <v>45658</v>
      </c>
      <c r="D737" t="str">
        <f>"8434"</f>
        <v>8434</v>
      </c>
      <c r="E737" s="18">
        <v>45475</v>
      </c>
      <c r="F737" t="s">
        <v>1408</v>
      </c>
      <c r="G737" t="s">
        <v>247</v>
      </c>
      <c r="H737" t="s">
        <v>1409</v>
      </c>
      <c r="L737" s="35">
        <v>48480</v>
      </c>
    </row>
    <row r="738" spans="1:12" hidden="1" x14ac:dyDescent="0.25">
      <c r="A738">
        <v>0</v>
      </c>
      <c r="B738" t="s">
        <v>244</v>
      </c>
      <c r="C738" s="18">
        <v>45658</v>
      </c>
      <c r="D738" t="str">
        <f>"8435"</f>
        <v>8435</v>
      </c>
      <c r="E738" s="18">
        <v>45476</v>
      </c>
      <c r="F738" t="s">
        <v>1410</v>
      </c>
      <c r="G738" t="s">
        <v>247</v>
      </c>
      <c r="H738" t="s">
        <v>1411</v>
      </c>
      <c r="L738" s="35">
        <v>558240</v>
      </c>
    </row>
    <row r="739" spans="1:12" hidden="1" x14ac:dyDescent="0.25">
      <c r="A739">
        <v>0</v>
      </c>
      <c r="B739" t="s">
        <v>244</v>
      </c>
      <c r="C739" s="18">
        <v>45658</v>
      </c>
      <c r="D739" t="str">
        <f>"8436"</f>
        <v>8436</v>
      </c>
      <c r="E739" s="18">
        <v>45476</v>
      </c>
      <c r="F739" t="s">
        <v>1412</v>
      </c>
      <c r="G739" t="s">
        <v>247</v>
      </c>
      <c r="H739" t="s">
        <v>1413</v>
      </c>
      <c r="L739" s="35">
        <v>108000</v>
      </c>
    </row>
    <row r="740" spans="1:12" hidden="1" x14ac:dyDescent="0.25">
      <c r="A740">
        <v>0</v>
      </c>
      <c r="B740" t="s">
        <v>244</v>
      </c>
      <c r="C740" s="18">
        <v>45658</v>
      </c>
      <c r="D740" t="str">
        <f>"8437"</f>
        <v>8437</v>
      </c>
      <c r="E740" s="18">
        <v>45476</v>
      </c>
      <c r="F740" t="s">
        <v>1414</v>
      </c>
      <c r="G740" t="s">
        <v>247</v>
      </c>
      <c r="H740" t="s">
        <v>1415</v>
      </c>
      <c r="L740" s="35">
        <v>160000</v>
      </c>
    </row>
    <row r="741" spans="1:12" hidden="1" x14ac:dyDescent="0.25">
      <c r="A741">
        <v>0</v>
      </c>
      <c r="B741" t="s">
        <v>244</v>
      </c>
      <c r="C741" s="18">
        <v>45658</v>
      </c>
      <c r="D741" t="str">
        <f>"8438"</f>
        <v>8438</v>
      </c>
      <c r="E741" s="18">
        <v>45477</v>
      </c>
      <c r="F741" s="33">
        <v>45434</v>
      </c>
      <c r="G741" t="s">
        <v>247</v>
      </c>
      <c r="H741" t="s">
        <v>1416</v>
      </c>
      <c r="L741" s="35">
        <v>933760</v>
      </c>
    </row>
    <row r="742" spans="1:12" hidden="1" x14ac:dyDescent="0.25">
      <c r="A742">
        <v>0</v>
      </c>
      <c r="B742" t="s">
        <v>244</v>
      </c>
      <c r="C742" s="18">
        <v>45658</v>
      </c>
      <c r="D742" t="str">
        <f>"8439"</f>
        <v>8439</v>
      </c>
      <c r="E742" s="18">
        <v>45477</v>
      </c>
      <c r="F742" t="s">
        <v>1417</v>
      </c>
      <c r="G742" t="s">
        <v>247</v>
      </c>
      <c r="H742" t="s">
        <v>1418</v>
      </c>
      <c r="L742" s="35">
        <v>28000</v>
      </c>
    </row>
    <row r="743" spans="1:12" hidden="1" x14ac:dyDescent="0.25">
      <c r="A743">
        <v>0</v>
      </c>
      <c r="B743" t="s">
        <v>244</v>
      </c>
      <c r="C743" s="18">
        <v>45658</v>
      </c>
      <c r="D743" t="str">
        <f>"8440"</f>
        <v>8440</v>
      </c>
      <c r="E743" s="18">
        <v>45478</v>
      </c>
      <c r="F743" t="s">
        <v>1419</v>
      </c>
      <c r="G743" t="s">
        <v>247</v>
      </c>
      <c r="H743" t="s">
        <v>1420</v>
      </c>
      <c r="L743" s="35">
        <v>30240</v>
      </c>
    </row>
    <row r="744" spans="1:12" hidden="1" x14ac:dyDescent="0.25">
      <c r="A744">
        <v>0</v>
      </c>
      <c r="B744" t="s">
        <v>244</v>
      </c>
      <c r="C744" s="18">
        <v>45658</v>
      </c>
      <c r="D744" t="str">
        <f>"8441"</f>
        <v>8441</v>
      </c>
      <c r="E744" s="18">
        <v>45481</v>
      </c>
      <c r="F744" t="s">
        <v>1421</v>
      </c>
      <c r="G744" t="s">
        <v>247</v>
      </c>
      <c r="H744" t="s">
        <v>1422</v>
      </c>
      <c r="L744" s="35">
        <v>186560</v>
      </c>
    </row>
    <row r="745" spans="1:12" hidden="1" x14ac:dyDescent="0.25">
      <c r="A745">
        <v>0</v>
      </c>
      <c r="B745" t="s">
        <v>244</v>
      </c>
      <c r="C745" s="18">
        <v>45658</v>
      </c>
      <c r="D745" t="str">
        <f>"8442"</f>
        <v>8442</v>
      </c>
      <c r="E745" s="18">
        <v>45481</v>
      </c>
      <c r="F745" t="str">
        <f>"2647"</f>
        <v>2647</v>
      </c>
      <c r="G745" t="s">
        <v>247</v>
      </c>
      <c r="H745" t="s">
        <v>1423</v>
      </c>
      <c r="L745" s="35">
        <v>933760</v>
      </c>
    </row>
    <row r="746" spans="1:12" hidden="1" x14ac:dyDescent="0.25">
      <c r="A746">
        <v>0</v>
      </c>
      <c r="B746" t="s">
        <v>244</v>
      </c>
      <c r="C746" s="18">
        <v>45658</v>
      </c>
      <c r="D746" t="str">
        <f>"8443"</f>
        <v>8443</v>
      </c>
      <c r="E746" s="18">
        <v>45483</v>
      </c>
      <c r="F746" t="s">
        <v>1424</v>
      </c>
      <c r="G746" t="s">
        <v>247</v>
      </c>
      <c r="H746" t="s">
        <v>1425</v>
      </c>
      <c r="L746" s="35">
        <v>575840</v>
      </c>
    </row>
    <row r="747" spans="1:12" hidden="1" x14ac:dyDescent="0.25">
      <c r="A747">
        <v>0</v>
      </c>
      <c r="B747" t="s">
        <v>244</v>
      </c>
      <c r="C747" s="18">
        <v>45658</v>
      </c>
      <c r="D747" t="str">
        <f>"8444"</f>
        <v>8444</v>
      </c>
      <c r="E747" s="18">
        <v>45483</v>
      </c>
      <c r="F747" t="s">
        <v>1426</v>
      </c>
      <c r="G747" t="s">
        <v>247</v>
      </c>
      <c r="H747" t="s">
        <v>1427</v>
      </c>
      <c r="L747" s="35">
        <v>453840</v>
      </c>
    </row>
    <row r="748" spans="1:12" hidden="1" x14ac:dyDescent="0.25">
      <c r="A748">
        <v>0</v>
      </c>
      <c r="B748" t="s">
        <v>244</v>
      </c>
      <c r="C748" s="18">
        <v>45658</v>
      </c>
      <c r="D748" t="str">
        <f>"8445"</f>
        <v>8445</v>
      </c>
      <c r="E748" s="18">
        <v>45483</v>
      </c>
      <c r="F748" t="s">
        <v>1428</v>
      </c>
      <c r="G748" t="s">
        <v>247</v>
      </c>
      <c r="H748" t="s">
        <v>1429</v>
      </c>
      <c r="L748" s="35">
        <v>56080</v>
      </c>
    </row>
    <row r="749" spans="1:12" hidden="1" x14ac:dyDescent="0.25">
      <c r="A749">
        <v>0</v>
      </c>
      <c r="B749" t="s">
        <v>244</v>
      </c>
      <c r="C749" s="18">
        <v>45658</v>
      </c>
      <c r="D749" t="str">
        <f>"8446"</f>
        <v>8446</v>
      </c>
      <c r="E749" s="18">
        <v>45483</v>
      </c>
      <c r="F749" t="s">
        <v>1430</v>
      </c>
      <c r="G749" t="s">
        <v>247</v>
      </c>
      <c r="H749" t="s">
        <v>1431</v>
      </c>
      <c r="L749" s="35">
        <v>118320</v>
      </c>
    </row>
    <row r="750" spans="1:12" hidden="1" x14ac:dyDescent="0.25">
      <c r="A750">
        <v>0</v>
      </c>
      <c r="B750" t="s">
        <v>244</v>
      </c>
      <c r="C750" s="18">
        <v>45658</v>
      </c>
      <c r="D750" t="str">
        <f>"8447"</f>
        <v>8447</v>
      </c>
      <c r="E750" s="18">
        <v>45486</v>
      </c>
      <c r="F750" t="str">
        <f>"18606"</f>
        <v>18606</v>
      </c>
      <c r="G750" t="s">
        <v>247</v>
      </c>
      <c r="H750" t="s">
        <v>1432</v>
      </c>
      <c r="L750" s="35">
        <v>171680</v>
      </c>
    </row>
    <row r="751" spans="1:12" hidden="1" x14ac:dyDescent="0.25">
      <c r="A751">
        <v>0</v>
      </c>
      <c r="B751" t="s">
        <v>244</v>
      </c>
      <c r="C751" s="18">
        <v>45658</v>
      </c>
      <c r="D751" t="str">
        <f>"8448"</f>
        <v>8448</v>
      </c>
      <c r="E751" s="18">
        <v>45492</v>
      </c>
      <c r="F751" t="str">
        <f>"18638"</f>
        <v>18638</v>
      </c>
      <c r="G751" t="s">
        <v>247</v>
      </c>
      <c r="H751" t="s">
        <v>1433</v>
      </c>
      <c r="L751" s="35">
        <v>1160000</v>
      </c>
    </row>
    <row r="752" spans="1:12" hidden="1" x14ac:dyDescent="0.25">
      <c r="A752">
        <v>0</v>
      </c>
      <c r="B752" t="s">
        <v>244</v>
      </c>
      <c r="C752" s="18">
        <v>45658</v>
      </c>
      <c r="D752" t="str">
        <f>"8449"</f>
        <v>8449</v>
      </c>
      <c r="E752" s="18">
        <v>45492</v>
      </c>
      <c r="F752" t="str">
        <f>"18678"</f>
        <v>18678</v>
      </c>
      <c r="G752" t="s">
        <v>247</v>
      </c>
      <c r="H752" t="s">
        <v>1434</v>
      </c>
      <c r="L752" s="35">
        <v>96000</v>
      </c>
    </row>
    <row r="753" spans="1:12" hidden="1" x14ac:dyDescent="0.25">
      <c r="A753">
        <v>0</v>
      </c>
      <c r="B753" t="s">
        <v>244</v>
      </c>
      <c r="C753" s="18">
        <v>45658</v>
      </c>
      <c r="D753" t="str">
        <f>"8450"</f>
        <v>8450</v>
      </c>
      <c r="E753" s="18">
        <v>45497</v>
      </c>
      <c r="G753" t="s">
        <v>247</v>
      </c>
      <c r="H753" t="s">
        <v>1435</v>
      </c>
      <c r="L753" s="35">
        <v>2232445.3199999998</v>
      </c>
    </row>
    <row r="754" spans="1:12" hidden="1" x14ac:dyDescent="0.25">
      <c r="A754">
        <v>0</v>
      </c>
      <c r="B754" t="s">
        <v>244</v>
      </c>
      <c r="C754" s="18">
        <v>45658</v>
      </c>
      <c r="D754" t="str">
        <f>"8451"</f>
        <v>8451</v>
      </c>
      <c r="E754" t="str">
        <f>"00013076"</f>
        <v>00013076</v>
      </c>
      <c r="G754" t="s">
        <v>247</v>
      </c>
      <c r="H754" t="s">
        <v>1436</v>
      </c>
      <c r="L754" s="35">
        <v>19120446.960000001</v>
      </c>
    </row>
    <row r="755" spans="1:12" hidden="1" x14ac:dyDescent="0.25">
      <c r="A755">
        <v>0</v>
      </c>
      <c r="B755" t="s">
        <v>244</v>
      </c>
      <c r="C755" s="18">
        <v>45658</v>
      </c>
      <c r="D755" t="str">
        <f>"8452"</f>
        <v>8452</v>
      </c>
      <c r="E755" s="18">
        <v>45498</v>
      </c>
      <c r="G755" t="s">
        <v>247</v>
      </c>
      <c r="H755" t="s">
        <v>1437</v>
      </c>
      <c r="L755" s="35">
        <v>4873098.05</v>
      </c>
    </row>
    <row r="756" spans="1:12" hidden="1" x14ac:dyDescent="0.25">
      <c r="A756">
        <v>0</v>
      </c>
      <c r="B756" t="s">
        <v>244</v>
      </c>
      <c r="C756" s="18">
        <v>45658</v>
      </c>
      <c r="D756" t="str">
        <f>"8453"</f>
        <v>8453</v>
      </c>
      <c r="E756" s="18">
        <v>45505</v>
      </c>
      <c r="F756" t="s">
        <v>1438</v>
      </c>
      <c r="G756" t="s">
        <v>247</v>
      </c>
      <c r="H756" t="s">
        <v>1439</v>
      </c>
      <c r="L756" s="35">
        <v>360480</v>
      </c>
    </row>
    <row r="757" spans="1:12" hidden="1" x14ac:dyDescent="0.25">
      <c r="A757">
        <v>0</v>
      </c>
      <c r="B757" t="s">
        <v>244</v>
      </c>
      <c r="C757" s="18">
        <v>45658</v>
      </c>
      <c r="D757" t="str">
        <f>"8454"</f>
        <v>8454</v>
      </c>
      <c r="E757" s="18">
        <v>45505</v>
      </c>
      <c r="F757" t="str">
        <f>"249190"</f>
        <v>249190</v>
      </c>
      <c r="G757" t="s">
        <v>247</v>
      </c>
      <c r="H757" t="s">
        <v>1440</v>
      </c>
      <c r="L757" s="35">
        <v>128480</v>
      </c>
    </row>
    <row r="758" spans="1:12" hidden="1" x14ac:dyDescent="0.25">
      <c r="A758">
        <v>0</v>
      </c>
      <c r="B758" t="s">
        <v>244</v>
      </c>
      <c r="C758" s="18">
        <v>45658</v>
      </c>
      <c r="D758" t="str">
        <f>"8455"</f>
        <v>8455</v>
      </c>
      <c r="E758" s="18">
        <v>45505</v>
      </c>
      <c r="F758" t="s">
        <v>1441</v>
      </c>
      <c r="G758" t="s">
        <v>247</v>
      </c>
      <c r="H758" t="s">
        <v>1442</v>
      </c>
      <c r="L758" s="35">
        <v>38800</v>
      </c>
    </row>
    <row r="759" spans="1:12" hidden="1" x14ac:dyDescent="0.25">
      <c r="A759">
        <v>0</v>
      </c>
      <c r="B759" t="s">
        <v>244</v>
      </c>
      <c r="C759" s="18">
        <v>45658</v>
      </c>
      <c r="D759" t="str">
        <f>"8456"</f>
        <v>8456</v>
      </c>
      <c r="E759" s="18">
        <v>45505</v>
      </c>
      <c r="F759" t="str">
        <f>"18744"</f>
        <v>18744</v>
      </c>
      <c r="G759" t="s">
        <v>247</v>
      </c>
      <c r="H759" t="s">
        <v>1443</v>
      </c>
      <c r="L759" s="35">
        <v>160000</v>
      </c>
    </row>
    <row r="760" spans="1:12" hidden="1" x14ac:dyDescent="0.25">
      <c r="A760">
        <v>0</v>
      </c>
      <c r="B760" t="s">
        <v>244</v>
      </c>
      <c r="C760" s="18">
        <v>45658</v>
      </c>
      <c r="D760" t="str">
        <f>"8457"</f>
        <v>8457</v>
      </c>
      <c r="E760" s="18">
        <v>45506</v>
      </c>
      <c r="F760" t="s">
        <v>1444</v>
      </c>
      <c r="G760" t="s">
        <v>247</v>
      </c>
      <c r="H760" t="s">
        <v>1445</v>
      </c>
      <c r="L760" s="35">
        <v>322400</v>
      </c>
    </row>
    <row r="761" spans="1:12" hidden="1" x14ac:dyDescent="0.25">
      <c r="A761">
        <v>0</v>
      </c>
      <c r="B761" t="s">
        <v>244</v>
      </c>
      <c r="C761" s="18">
        <v>45658</v>
      </c>
      <c r="D761" t="str">
        <f>"8458"</f>
        <v>8458</v>
      </c>
      <c r="E761" s="18">
        <v>45506</v>
      </c>
      <c r="F761" t="str">
        <f>"18844"</f>
        <v>18844</v>
      </c>
      <c r="G761" t="s">
        <v>247</v>
      </c>
      <c r="H761" t="s">
        <v>1446</v>
      </c>
      <c r="L761" s="35">
        <v>80000</v>
      </c>
    </row>
    <row r="762" spans="1:12" hidden="1" x14ac:dyDescent="0.25">
      <c r="A762">
        <v>0</v>
      </c>
      <c r="B762" t="s">
        <v>244</v>
      </c>
      <c r="C762" s="18">
        <v>45658</v>
      </c>
      <c r="D762" t="str">
        <f>"8459"</f>
        <v>8459</v>
      </c>
      <c r="E762" s="18">
        <v>45506</v>
      </c>
      <c r="F762" t="s">
        <v>1447</v>
      </c>
      <c r="G762" t="s">
        <v>247</v>
      </c>
      <c r="H762" t="s">
        <v>1448</v>
      </c>
      <c r="L762" s="35">
        <v>30880</v>
      </c>
    </row>
    <row r="763" spans="1:12" hidden="1" x14ac:dyDescent="0.25">
      <c r="A763">
        <v>0</v>
      </c>
      <c r="B763" t="s">
        <v>244</v>
      </c>
      <c r="C763" s="18">
        <v>45658</v>
      </c>
      <c r="D763" t="str">
        <f>"8460"</f>
        <v>8460</v>
      </c>
      <c r="E763" s="18">
        <v>45506</v>
      </c>
      <c r="F763" t="s">
        <v>1449</v>
      </c>
      <c r="G763" t="s">
        <v>247</v>
      </c>
      <c r="H763" t="s">
        <v>1450</v>
      </c>
      <c r="L763" s="35">
        <v>72960</v>
      </c>
    </row>
    <row r="764" spans="1:12" hidden="1" x14ac:dyDescent="0.25">
      <c r="A764">
        <v>0</v>
      </c>
      <c r="B764" t="s">
        <v>244</v>
      </c>
      <c r="C764" s="18">
        <v>45658</v>
      </c>
      <c r="D764" t="str">
        <f>"8461"</f>
        <v>8461</v>
      </c>
      <c r="E764" s="18">
        <v>45506</v>
      </c>
      <c r="F764" t="s">
        <v>1451</v>
      </c>
      <c r="G764" t="s">
        <v>247</v>
      </c>
      <c r="H764" t="s">
        <v>1452</v>
      </c>
      <c r="L764" s="35">
        <v>160000</v>
      </c>
    </row>
    <row r="765" spans="1:12" hidden="1" x14ac:dyDescent="0.25">
      <c r="A765">
        <v>0</v>
      </c>
      <c r="B765" t="s">
        <v>244</v>
      </c>
      <c r="C765" s="18">
        <v>45658</v>
      </c>
      <c r="D765" t="str">
        <f>"8462"</f>
        <v>8462</v>
      </c>
      <c r="E765" s="18">
        <v>45506</v>
      </c>
      <c r="F765" t="s">
        <v>1453</v>
      </c>
      <c r="G765" t="s">
        <v>247</v>
      </c>
      <c r="H765" t="s">
        <v>1454</v>
      </c>
      <c r="L765" s="35">
        <v>55600</v>
      </c>
    </row>
    <row r="766" spans="1:12" hidden="1" x14ac:dyDescent="0.25">
      <c r="A766">
        <v>0</v>
      </c>
      <c r="B766" t="s">
        <v>244</v>
      </c>
      <c r="C766" s="18">
        <v>45658</v>
      </c>
      <c r="D766" t="str">
        <f>"8463"</f>
        <v>8463</v>
      </c>
      <c r="E766" s="18">
        <v>45509</v>
      </c>
      <c r="F766" t="str">
        <f>"00416"</f>
        <v>00416</v>
      </c>
      <c r="G766" t="s">
        <v>247</v>
      </c>
      <c r="H766" t="s">
        <v>1455</v>
      </c>
      <c r="L766" s="35">
        <v>1021000</v>
      </c>
    </row>
    <row r="767" spans="1:12" hidden="1" x14ac:dyDescent="0.25">
      <c r="A767">
        <v>0</v>
      </c>
      <c r="B767" t="s">
        <v>244</v>
      </c>
      <c r="C767" s="18">
        <v>45658</v>
      </c>
      <c r="D767" t="str">
        <f>"8464"</f>
        <v>8464</v>
      </c>
      <c r="E767" s="18">
        <v>45509</v>
      </c>
      <c r="F767" t="s">
        <v>987</v>
      </c>
      <c r="G767" t="s">
        <v>247</v>
      </c>
      <c r="H767" t="s">
        <v>1456</v>
      </c>
      <c r="L767" s="35">
        <v>83600</v>
      </c>
    </row>
    <row r="768" spans="1:12" hidden="1" x14ac:dyDescent="0.25">
      <c r="A768">
        <v>0</v>
      </c>
      <c r="B768" t="s">
        <v>244</v>
      </c>
      <c r="C768" s="18">
        <v>45658</v>
      </c>
      <c r="D768" t="str">
        <f>"8465"</f>
        <v>8465</v>
      </c>
      <c r="E768" s="18">
        <v>45509</v>
      </c>
      <c r="F768" t="s">
        <v>1457</v>
      </c>
      <c r="G768" t="s">
        <v>247</v>
      </c>
      <c r="H768" t="s">
        <v>1458</v>
      </c>
      <c r="L768" s="35">
        <v>28000</v>
      </c>
    </row>
    <row r="769" spans="1:12" hidden="1" x14ac:dyDescent="0.25">
      <c r="A769">
        <v>0</v>
      </c>
      <c r="B769" t="s">
        <v>244</v>
      </c>
      <c r="C769" s="18">
        <v>45658</v>
      </c>
      <c r="D769" t="str">
        <f>"8466"</f>
        <v>8466</v>
      </c>
      <c r="E769" s="18">
        <v>45510</v>
      </c>
      <c r="F769" t="s">
        <v>1459</v>
      </c>
      <c r="G769" t="s">
        <v>247</v>
      </c>
      <c r="H769" t="s">
        <v>1460</v>
      </c>
      <c r="L769" s="35">
        <v>99120</v>
      </c>
    </row>
    <row r="770" spans="1:12" hidden="1" x14ac:dyDescent="0.25">
      <c r="A770">
        <v>0</v>
      </c>
      <c r="B770" t="s">
        <v>244</v>
      </c>
      <c r="C770" s="18">
        <v>45658</v>
      </c>
      <c r="D770" t="str">
        <f>"8467"</f>
        <v>8467</v>
      </c>
      <c r="E770" s="18">
        <v>45510</v>
      </c>
      <c r="F770" t="str">
        <f>"105"</f>
        <v>105</v>
      </c>
      <c r="G770" t="s">
        <v>247</v>
      </c>
      <c r="H770" t="s">
        <v>1461</v>
      </c>
      <c r="L770" s="35">
        <v>3206900</v>
      </c>
    </row>
    <row r="771" spans="1:12" hidden="1" x14ac:dyDescent="0.25">
      <c r="A771">
        <v>0</v>
      </c>
      <c r="B771" t="s">
        <v>244</v>
      </c>
      <c r="C771" s="18">
        <v>45658</v>
      </c>
      <c r="D771" t="str">
        <f>"8468"</f>
        <v>8468</v>
      </c>
      <c r="E771" s="18">
        <v>45510</v>
      </c>
      <c r="F771" t="s">
        <v>1462</v>
      </c>
      <c r="G771" t="s">
        <v>247</v>
      </c>
      <c r="H771" t="s">
        <v>1463</v>
      </c>
      <c r="L771" s="35">
        <v>996000</v>
      </c>
    </row>
    <row r="772" spans="1:12" hidden="1" x14ac:dyDescent="0.25">
      <c r="A772">
        <v>0</v>
      </c>
      <c r="B772" t="s">
        <v>244</v>
      </c>
      <c r="C772" s="18">
        <v>45658</v>
      </c>
      <c r="D772" t="str">
        <f>"8469"</f>
        <v>8469</v>
      </c>
      <c r="E772" s="18">
        <v>45511</v>
      </c>
      <c r="F772" t="str">
        <f>"240763"</f>
        <v>240763</v>
      </c>
      <c r="G772" t="s">
        <v>247</v>
      </c>
      <c r="H772" t="s">
        <v>1464</v>
      </c>
      <c r="L772" s="35">
        <v>28240</v>
      </c>
    </row>
    <row r="773" spans="1:12" hidden="1" x14ac:dyDescent="0.25">
      <c r="A773">
        <v>0</v>
      </c>
      <c r="B773" t="s">
        <v>244</v>
      </c>
      <c r="C773" s="18">
        <v>45658</v>
      </c>
      <c r="D773" t="str">
        <f>"8470"</f>
        <v>8470</v>
      </c>
      <c r="E773" s="18">
        <v>45511</v>
      </c>
      <c r="F773" t="s">
        <v>1465</v>
      </c>
      <c r="G773" t="s">
        <v>247</v>
      </c>
      <c r="H773" t="s">
        <v>1466</v>
      </c>
      <c r="L773" s="35">
        <v>62880</v>
      </c>
    </row>
    <row r="774" spans="1:12" hidden="1" x14ac:dyDescent="0.25">
      <c r="A774">
        <v>0</v>
      </c>
      <c r="B774" t="s">
        <v>244</v>
      </c>
      <c r="C774" s="18">
        <v>45658</v>
      </c>
      <c r="D774" t="str">
        <f>"8471"</f>
        <v>8471</v>
      </c>
      <c r="E774" s="18">
        <v>45511</v>
      </c>
      <c r="F774" t="str">
        <f>"339519"</f>
        <v>339519</v>
      </c>
      <c r="G774" t="s">
        <v>247</v>
      </c>
      <c r="H774" t="s">
        <v>1467</v>
      </c>
      <c r="L774" s="35">
        <v>1403200</v>
      </c>
    </row>
    <row r="775" spans="1:12" hidden="1" x14ac:dyDescent="0.25">
      <c r="A775">
        <v>0</v>
      </c>
      <c r="B775" t="s">
        <v>244</v>
      </c>
      <c r="C775" s="18">
        <v>45658</v>
      </c>
      <c r="D775" t="str">
        <f>"8472"</f>
        <v>8472</v>
      </c>
      <c r="E775" s="18">
        <v>45511</v>
      </c>
      <c r="F775" t="s">
        <v>1468</v>
      </c>
      <c r="G775" t="s">
        <v>247</v>
      </c>
      <c r="H775" t="s">
        <v>1469</v>
      </c>
      <c r="L775" s="35">
        <v>66720</v>
      </c>
    </row>
    <row r="776" spans="1:12" hidden="1" x14ac:dyDescent="0.25">
      <c r="A776">
        <v>0</v>
      </c>
      <c r="B776" t="s">
        <v>244</v>
      </c>
      <c r="C776" s="18">
        <v>45658</v>
      </c>
      <c r="D776" t="str">
        <f>"8473"</f>
        <v>8473</v>
      </c>
      <c r="E776" s="18">
        <v>45511</v>
      </c>
      <c r="F776" t="str">
        <f>"240924"</f>
        <v>240924</v>
      </c>
      <c r="G776" t="s">
        <v>247</v>
      </c>
      <c r="H776" t="s">
        <v>1470</v>
      </c>
      <c r="L776" s="35">
        <v>36000</v>
      </c>
    </row>
    <row r="777" spans="1:12" hidden="1" x14ac:dyDescent="0.25">
      <c r="A777">
        <v>0</v>
      </c>
      <c r="B777" t="s">
        <v>244</v>
      </c>
      <c r="C777" s="18">
        <v>45658</v>
      </c>
      <c r="D777" t="str">
        <f>"8474"</f>
        <v>8474</v>
      </c>
      <c r="E777" s="18">
        <v>45513</v>
      </c>
      <c r="F777" t="str">
        <f>"248426"</f>
        <v>248426</v>
      </c>
      <c r="G777" t="s">
        <v>247</v>
      </c>
      <c r="H777" t="s">
        <v>1471</v>
      </c>
      <c r="L777" s="35">
        <v>142560</v>
      </c>
    </row>
    <row r="778" spans="1:12" hidden="1" x14ac:dyDescent="0.25">
      <c r="A778">
        <v>0</v>
      </c>
      <c r="B778" t="s">
        <v>244</v>
      </c>
      <c r="C778" s="18">
        <v>45658</v>
      </c>
      <c r="D778" t="str">
        <f>"8475"</f>
        <v>8475</v>
      </c>
      <c r="E778" s="18">
        <v>45513</v>
      </c>
      <c r="F778" t="s">
        <v>1472</v>
      </c>
      <c r="G778" t="s">
        <v>247</v>
      </c>
      <c r="H778" t="s">
        <v>1473</v>
      </c>
      <c r="L778" s="35">
        <v>96480</v>
      </c>
    </row>
    <row r="779" spans="1:12" hidden="1" x14ac:dyDescent="0.25">
      <c r="A779">
        <v>0</v>
      </c>
      <c r="B779" t="s">
        <v>244</v>
      </c>
      <c r="C779" s="18">
        <v>45658</v>
      </c>
      <c r="D779" t="str">
        <f>"8476"</f>
        <v>8476</v>
      </c>
      <c r="E779" s="18">
        <v>45513</v>
      </c>
      <c r="F779" s="18">
        <v>45481</v>
      </c>
      <c r="G779" t="s">
        <v>247</v>
      </c>
      <c r="H779" t="s">
        <v>1474</v>
      </c>
      <c r="L779" s="35">
        <v>36640</v>
      </c>
    </row>
    <row r="780" spans="1:12" hidden="1" x14ac:dyDescent="0.25">
      <c r="A780">
        <v>0</v>
      </c>
      <c r="B780" t="s">
        <v>244</v>
      </c>
      <c r="C780" s="18">
        <v>45658</v>
      </c>
      <c r="D780" t="str">
        <f>"8477"</f>
        <v>8477</v>
      </c>
      <c r="E780" s="18">
        <v>45513</v>
      </c>
      <c r="F780" t="s">
        <v>1475</v>
      </c>
      <c r="G780" t="s">
        <v>247</v>
      </c>
      <c r="H780" t="s">
        <v>1476</v>
      </c>
      <c r="L780" s="35">
        <v>65440</v>
      </c>
    </row>
    <row r="781" spans="1:12" hidden="1" x14ac:dyDescent="0.25">
      <c r="A781">
        <v>0</v>
      </c>
      <c r="B781" t="s">
        <v>244</v>
      </c>
      <c r="C781" s="18">
        <v>45658</v>
      </c>
      <c r="D781" t="str">
        <f>"8478"</f>
        <v>8478</v>
      </c>
      <c r="E781" s="18">
        <v>45513</v>
      </c>
      <c r="F781" t="s">
        <v>1477</v>
      </c>
      <c r="G781" t="s">
        <v>247</v>
      </c>
      <c r="H781" t="s">
        <v>1478</v>
      </c>
      <c r="L781" s="35">
        <v>114400</v>
      </c>
    </row>
    <row r="782" spans="1:12" hidden="1" x14ac:dyDescent="0.25">
      <c r="A782">
        <v>0</v>
      </c>
      <c r="B782" t="s">
        <v>244</v>
      </c>
      <c r="C782" s="18">
        <v>45658</v>
      </c>
      <c r="D782" t="str">
        <f>"8479"</f>
        <v>8479</v>
      </c>
      <c r="E782" s="18">
        <v>45514</v>
      </c>
      <c r="F782" t="str">
        <f>"18979"</f>
        <v>18979</v>
      </c>
      <c r="G782" t="s">
        <v>247</v>
      </c>
      <c r="H782" t="s">
        <v>1479</v>
      </c>
      <c r="L782" s="35">
        <v>305600</v>
      </c>
    </row>
    <row r="783" spans="1:12" hidden="1" x14ac:dyDescent="0.25">
      <c r="A783">
        <v>0</v>
      </c>
      <c r="B783" t="s">
        <v>244</v>
      </c>
      <c r="C783" s="18">
        <v>45658</v>
      </c>
      <c r="D783" t="str">
        <f>"8480"</f>
        <v>8480</v>
      </c>
      <c r="E783" s="18">
        <v>45518</v>
      </c>
      <c r="F783" t="str">
        <f>"386"</f>
        <v>386</v>
      </c>
      <c r="G783" t="s">
        <v>247</v>
      </c>
      <c r="H783" t="s">
        <v>1480</v>
      </c>
      <c r="L783" s="35">
        <v>330000</v>
      </c>
    </row>
    <row r="784" spans="1:12" hidden="1" x14ac:dyDescent="0.25">
      <c r="A784">
        <v>0</v>
      </c>
      <c r="B784" t="s">
        <v>244</v>
      </c>
      <c r="C784" s="18">
        <v>45658</v>
      </c>
      <c r="D784" t="str">
        <f>"8481"</f>
        <v>8481</v>
      </c>
      <c r="E784" s="18">
        <v>45520</v>
      </c>
      <c r="F784" t="s">
        <v>1481</v>
      </c>
      <c r="G784" t="s">
        <v>247</v>
      </c>
      <c r="H784" t="s">
        <v>1482</v>
      </c>
      <c r="L784" s="35">
        <v>28000</v>
      </c>
    </row>
    <row r="785" spans="1:12" hidden="1" x14ac:dyDescent="0.25">
      <c r="A785">
        <v>0</v>
      </c>
      <c r="B785" t="s">
        <v>244</v>
      </c>
      <c r="C785" s="18">
        <v>45658</v>
      </c>
      <c r="D785" t="str">
        <f>"8482"</f>
        <v>8482</v>
      </c>
      <c r="E785" s="18">
        <v>45525</v>
      </c>
      <c r="F785" t="str">
        <f>"387"</f>
        <v>387</v>
      </c>
      <c r="G785" t="s">
        <v>247</v>
      </c>
      <c r="H785" t="s">
        <v>1483</v>
      </c>
      <c r="L785" s="35">
        <v>96800</v>
      </c>
    </row>
    <row r="786" spans="1:12" hidden="1" x14ac:dyDescent="0.25">
      <c r="A786">
        <v>0</v>
      </c>
      <c r="B786" t="s">
        <v>244</v>
      </c>
      <c r="C786" s="18">
        <v>45658</v>
      </c>
      <c r="D786" t="str">
        <f>"8483"</f>
        <v>8483</v>
      </c>
      <c r="E786" s="18">
        <v>45537</v>
      </c>
      <c r="F786" t="s">
        <v>1484</v>
      </c>
      <c r="G786" t="s">
        <v>247</v>
      </c>
      <c r="H786" t="s">
        <v>1485</v>
      </c>
      <c r="L786" s="35">
        <v>777680</v>
      </c>
    </row>
    <row r="787" spans="1:12" hidden="1" x14ac:dyDescent="0.25">
      <c r="A787">
        <v>0</v>
      </c>
      <c r="B787" t="s">
        <v>244</v>
      </c>
      <c r="C787" s="18">
        <v>45658</v>
      </c>
      <c r="D787" t="str">
        <f>"8484"</f>
        <v>8484</v>
      </c>
      <c r="E787" s="18">
        <v>45537</v>
      </c>
      <c r="F787" t="s">
        <v>1486</v>
      </c>
      <c r="G787" t="s">
        <v>247</v>
      </c>
      <c r="H787" t="s">
        <v>1487</v>
      </c>
      <c r="L787" s="35">
        <v>90240</v>
      </c>
    </row>
    <row r="788" spans="1:12" hidden="1" x14ac:dyDescent="0.25">
      <c r="A788">
        <v>0</v>
      </c>
      <c r="B788" t="s">
        <v>244</v>
      </c>
      <c r="C788" s="18">
        <v>45658</v>
      </c>
      <c r="D788" t="str">
        <f>"8485"</f>
        <v>8485</v>
      </c>
      <c r="E788" s="18">
        <v>45537</v>
      </c>
      <c r="F788" t="s">
        <v>1488</v>
      </c>
      <c r="G788" t="s">
        <v>247</v>
      </c>
      <c r="H788" t="s">
        <v>1489</v>
      </c>
      <c r="L788" s="35">
        <v>6720</v>
      </c>
    </row>
    <row r="789" spans="1:12" hidden="1" x14ac:dyDescent="0.25">
      <c r="A789">
        <v>0</v>
      </c>
      <c r="B789" t="s">
        <v>244</v>
      </c>
      <c r="C789" s="18">
        <v>45658</v>
      </c>
      <c r="D789" t="str">
        <f>"8486"</f>
        <v>8486</v>
      </c>
      <c r="E789" s="18">
        <v>45537</v>
      </c>
      <c r="F789" t="s">
        <v>1490</v>
      </c>
      <c r="G789" t="s">
        <v>247</v>
      </c>
      <c r="H789" t="s">
        <v>1491</v>
      </c>
      <c r="L789" s="35">
        <v>72400</v>
      </c>
    </row>
    <row r="790" spans="1:12" hidden="1" x14ac:dyDescent="0.25">
      <c r="A790">
        <v>0</v>
      </c>
      <c r="B790" t="s">
        <v>244</v>
      </c>
      <c r="C790" s="18">
        <v>45658</v>
      </c>
      <c r="D790" t="str">
        <f>"8487"</f>
        <v>8487</v>
      </c>
      <c r="E790" s="18">
        <v>45537</v>
      </c>
      <c r="F790" t="s">
        <v>1492</v>
      </c>
      <c r="G790" t="s">
        <v>247</v>
      </c>
      <c r="H790" t="s">
        <v>1493</v>
      </c>
      <c r="L790" s="35">
        <v>32000</v>
      </c>
    </row>
    <row r="791" spans="1:12" hidden="1" x14ac:dyDescent="0.25">
      <c r="A791">
        <v>0</v>
      </c>
      <c r="B791" t="s">
        <v>244</v>
      </c>
      <c r="C791" s="18">
        <v>45658</v>
      </c>
      <c r="D791" t="str">
        <f>"8488"</f>
        <v>8488</v>
      </c>
      <c r="E791" s="18">
        <v>45538</v>
      </c>
      <c r="F791" t="str">
        <f>"19171"</f>
        <v>19171</v>
      </c>
      <c r="G791" t="s">
        <v>247</v>
      </c>
      <c r="H791" t="s">
        <v>1494</v>
      </c>
      <c r="L791" s="35">
        <v>46320</v>
      </c>
    </row>
    <row r="792" spans="1:12" hidden="1" x14ac:dyDescent="0.25">
      <c r="A792">
        <v>0</v>
      </c>
      <c r="B792" t="s">
        <v>244</v>
      </c>
      <c r="C792" s="18">
        <v>45658</v>
      </c>
      <c r="D792" t="str">
        <f>"8489"</f>
        <v>8489</v>
      </c>
      <c r="E792" s="18">
        <v>45538</v>
      </c>
      <c r="F792" t="s">
        <v>1495</v>
      </c>
      <c r="G792" t="s">
        <v>247</v>
      </c>
      <c r="H792" t="s">
        <v>1496</v>
      </c>
      <c r="L792" s="35">
        <v>154480</v>
      </c>
    </row>
    <row r="793" spans="1:12" hidden="1" x14ac:dyDescent="0.25">
      <c r="A793">
        <v>0</v>
      </c>
      <c r="B793" t="s">
        <v>244</v>
      </c>
      <c r="C793" s="18">
        <v>45658</v>
      </c>
      <c r="D793" t="str">
        <f>"8490"</f>
        <v>8490</v>
      </c>
      <c r="E793" s="18">
        <v>45538</v>
      </c>
      <c r="F793" t="str">
        <f>"249824"</f>
        <v>249824</v>
      </c>
      <c r="G793" t="s">
        <v>247</v>
      </c>
      <c r="H793" t="s">
        <v>1497</v>
      </c>
      <c r="L793" s="35">
        <v>169120</v>
      </c>
    </row>
    <row r="794" spans="1:12" hidden="1" x14ac:dyDescent="0.25">
      <c r="A794">
        <v>0</v>
      </c>
      <c r="B794" t="s">
        <v>244</v>
      </c>
      <c r="C794" s="18">
        <v>45658</v>
      </c>
      <c r="D794" t="str">
        <f>"8491"</f>
        <v>8491</v>
      </c>
      <c r="E794" s="18">
        <v>45538</v>
      </c>
      <c r="F794" t="str">
        <f>"3723"</f>
        <v>3723</v>
      </c>
      <c r="G794" t="s">
        <v>247</v>
      </c>
      <c r="H794" t="s">
        <v>1498</v>
      </c>
      <c r="L794" s="35">
        <v>87600</v>
      </c>
    </row>
    <row r="795" spans="1:12" hidden="1" x14ac:dyDescent="0.25">
      <c r="A795">
        <v>0</v>
      </c>
      <c r="B795" t="s">
        <v>244</v>
      </c>
      <c r="C795" s="18">
        <v>45658</v>
      </c>
      <c r="D795" t="str">
        <f>"8492"</f>
        <v>8492</v>
      </c>
      <c r="E795" s="18">
        <v>45539</v>
      </c>
      <c r="F795" t="s">
        <v>1499</v>
      </c>
      <c r="G795" t="s">
        <v>247</v>
      </c>
      <c r="H795" t="s">
        <v>1500</v>
      </c>
      <c r="L795" s="35">
        <v>31440</v>
      </c>
    </row>
    <row r="796" spans="1:12" hidden="1" x14ac:dyDescent="0.25">
      <c r="A796">
        <v>0</v>
      </c>
      <c r="B796" t="s">
        <v>244</v>
      </c>
      <c r="C796" s="18">
        <v>45658</v>
      </c>
      <c r="D796" t="str">
        <f>"8493"</f>
        <v>8493</v>
      </c>
      <c r="E796" s="18">
        <v>45539</v>
      </c>
      <c r="F796" t="s">
        <v>1501</v>
      </c>
      <c r="G796" t="s">
        <v>247</v>
      </c>
      <c r="H796" t="s">
        <v>1502</v>
      </c>
      <c r="L796" s="35">
        <v>42720</v>
      </c>
    </row>
    <row r="797" spans="1:12" hidden="1" x14ac:dyDescent="0.25">
      <c r="A797">
        <v>0</v>
      </c>
      <c r="B797" t="s">
        <v>244</v>
      </c>
      <c r="C797" s="18">
        <v>45658</v>
      </c>
      <c r="D797" t="str">
        <f>"8494"</f>
        <v>8494</v>
      </c>
      <c r="E797" s="18">
        <v>45540</v>
      </c>
      <c r="F797" t="str">
        <f>"19217"</f>
        <v>19217</v>
      </c>
      <c r="G797" t="s">
        <v>247</v>
      </c>
      <c r="H797" t="s">
        <v>1503</v>
      </c>
      <c r="L797" s="35">
        <v>110000</v>
      </c>
    </row>
    <row r="798" spans="1:12" hidden="1" x14ac:dyDescent="0.25">
      <c r="A798">
        <v>0</v>
      </c>
      <c r="B798" t="s">
        <v>244</v>
      </c>
      <c r="C798" s="18">
        <v>45658</v>
      </c>
      <c r="D798" t="str">
        <f>"8495"</f>
        <v>8495</v>
      </c>
      <c r="E798" s="18">
        <v>45540</v>
      </c>
      <c r="F798" t="s">
        <v>1504</v>
      </c>
      <c r="G798" t="s">
        <v>247</v>
      </c>
      <c r="H798" t="s">
        <v>1505</v>
      </c>
      <c r="L798" s="35">
        <v>48000</v>
      </c>
    </row>
    <row r="799" spans="1:12" hidden="1" x14ac:dyDescent="0.25">
      <c r="A799">
        <v>0</v>
      </c>
      <c r="B799" t="s">
        <v>244</v>
      </c>
      <c r="C799" s="18">
        <v>45658</v>
      </c>
      <c r="D799" t="str">
        <f>"8496"</f>
        <v>8496</v>
      </c>
      <c r="E799" s="18">
        <v>45541</v>
      </c>
      <c r="F799" t="str">
        <f>"07"</f>
        <v>07</v>
      </c>
      <c r="G799" t="s">
        <v>247</v>
      </c>
      <c r="H799" t="s">
        <v>1506</v>
      </c>
      <c r="L799" s="35">
        <v>1470000</v>
      </c>
    </row>
    <row r="800" spans="1:12" hidden="1" x14ac:dyDescent="0.25">
      <c r="A800">
        <v>0</v>
      </c>
      <c r="B800" t="s">
        <v>244</v>
      </c>
      <c r="C800" s="18">
        <v>45658</v>
      </c>
      <c r="D800" t="str">
        <f>"8497"</f>
        <v>8497</v>
      </c>
      <c r="E800" s="18">
        <v>45541</v>
      </c>
      <c r="F800" t="s">
        <v>1507</v>
      </c>
      <c r="G800" t="s">
        <v>247</v>
      </c>
      <c r="H800" t="s">
        <v>1508</v>
      </c>
      <c r="L800" s="35">
        <v>445600</v>
      </c>
    </row>
    <row r="801" spans="1:12" hidden="1" x14ac:dyDescent="0.25">
      <c r="A801">
        <v>0</v>
      </c>
      <c r="B801" t="s">
        <v>244</v>
      </c>
      <c r="C801" s="18">
        <v>45658</v>
      </c>
      <c r="D801" t="str">
        <f>"8498"</f>
        <v>8498</v>
      </c>
      <c r="E801" s="18">
        <v>45542</v>
      </c>
      <c r="F801" s="33">
        <v>45453</v>
      </c>
      <c r="G801" t="s">
        <v>247</v>
      </c>
      <c r="H801" t="s">
        <v>1509</v>
      </c>
      <c r="L801" s="35">
        <v>844000</v>
      </c>
    </row>
    <row r="802" spans="1:12" hidden="1" x14ac:dyDescent="0.25">
      <c r="A802">
        <v>0</v>
      </c>
      <c r="B802" t="s">
        <v>244</v>
      </c>
      <c r="C802" s="18">
        <v>45658</v>
      </c>
      <c r="D802" t="str">
        <f>"8499"</f>
        <v>8499</v>
      </c>
      <c r="E802" s="18">
        <v>45542</v>
      </c>
      <c r="F802" t="s">
        <v>1510</v>
      </c>
      <c r="G802" t="s">
        <v>247</v>
      </c>
      <c r="H802" t="s">
        <v>1511</v>
      </c>
      <c r="L802" s="35">
        <v>69120</v>
      </c>
    </row>
    <row r="803" spans="1:12" hidden="1" x14ac:dyDescent="0.25">
      <c r="A803">
        <v>0</v>
      </c>
      <c r="B803" t="s">
        <v>244</v>
      </c>
      <c r="C803" s="18">
        <v>45658</v>
      </c>
      <c r="D803" t="str">
        <f>"8500"</f>
        <v>8500</v>
      </c>
      <c r="E803" s="18">
        <v>45542</v>
      </c>
      <c r="F803" t="str">
        <f>"38366"</f>
        <v>38366</v>
      </c>
      <c r="G803" t="s">
        <v>247</v>
      </c>
      <c r="H803" t="s">
        <v>1512</v>
      </c>
      <c r="L803" s="35">
        <v>84000</v>
      </c>
    </row>
    <row r="804" spans="1:12" hidden="1" x14ac:dyDescent="0.25">
      <c r="A804">
        <v>0</v>
      </c>
      <c r="B804" t="s">
        <v>244</v>
      </c>
      <c r="C804" s="18">
        <v>45658</v>
      </c>
      <c r="D804" t="str">
        <f>"8501"</f>
        <v>8501</v>
      </c>
      <c r="E804" s="18">
        <v>45542</v>
      </c>
      <c r="F804" t="str">
        <f>"2618"</f>
        <v>2618</v>
      </c>
      <c r="G804" t="s">
        <v>247</v>
      </c>
      <c r="H804" t="s">
        <v>1513</v>
      </c>
      <c r="L804" s="35">
        <v>1005840</v>
      </c>
    </row>
    <row r="805" spans="1:12" hidden="1" x14ac:dyDescent="0.25">
      <c r="A805">
        <v>0</v>
      </c>
      <c r="B805" t="s">
        <v>244</v>
      </c>
      <c r="C805" s="18">
        <v>45658</v>
      </c>
      <c r="D805" t="str">
        <f>"8502"</f>
        <v>8502</v>
      </c>
      <c r="E805" s="18">
        <v>45542</v>
      </c>
      <c r="F805" t="s">
        <v>1514</v>
      </c>
      <c r="G805" t="s">
        <v>247</v>
      </c>
      <c r="H805" t="s">
        <v>1515</v>
      </c>
      <c r="L805" s="35">
        <v>28000</v>
      </c>
    </row>
    <row r="806" spans="1:12" hidden="1" x14ac:dyDescent="0.25">
      <c r="A806">
        <v>0</v>
      </c>
      <c r="B806" t="s">
        <v>244</v>
      </c>
      <c r="C806" s="18">
        <v>45658</v>
      </c>
      <c r="D806" t="str">
        <f>"8503"</f>
        <v>8503</v>
      </c>
      <c r="E806" s="18">
        <v>45545</v>
      </c>
      <c r="F806" t="s">
        <v>1516</v>
      </c>
      <c r="G806" t="s">
        <v>247</v>
      </c>
      <c r="H806" t="s">
        <v>1517</v>
      </c>
      <c r="L806" s="35">
        <v>33680</v>
      </c>
    </row>
    <row r="807" spans="1:12" hidden="1" x14ac:dyDescent="0.25">
      <c r="A807">
        <v>0</v>
      </c>
      <c r="B807" t="s">
        <v>244</v>
      </c>
      <c r="C807" s="18">
        <v>45658</v>
      </c>
      <c r="D807" t="str">
        <f>"8504"</f>
        <v>8504</v>
      </c>
      <c r="E807" s="18">
        <v>45546</v>
      </c>
      <c r="F807" t="s">
        <v>1518</v>
      </c>
      <c r="G807" t="s">
        <v>247</v>
      </c>
      <c r="H807" t="s">
        <v>1519</v>
      </c>
      <c r="L807" s="35">
        <v>77200</v>
      </c>
    </row>
    <row r="808" spans="1:12" hidden="1" x14ac:dyDescent="0.25">
      <c r="A808">
        <v>0</v>
      </c>
      <c r="B808" t="s">
        <v>244</v>
      </c>
      <c r="C808" s="18">
        <v>45658</v>
      </c>
      <c r="D808" t="str">
        <f>"8505"</f>
        <v>8505</v>
      </c>
      <c r="E808" s="18">
        <v>45546</v>
      </c>
      <c r="F808" t="s">
        <v>1520</v>
      </c>
      <c r="G808" t="s">
        <v>247</v>
      </c>
      <c r="H808" t="s">
        <v>1521</v>
      </c>
      <c r="L808" s="35">
        <v>472920</v>
      </c>
    </row>
    <row r="809" spans="1:12" hidden="1" x14ac:dyDescent="0.25">
      <c r="A809">
        <v>0</v>
      </c>
      <c r="B809" t="s">
        <v>244</v>
      </c>
      <c r="C809" s="18">
        <v>45658</v>
      </c>
      <c r="D809" t="str">
        <f>"8506"</f>
        <v>8506</v>
      </c>
      <c r="E809" s="18">
        <v>45547</v>
      </c>
      <c r="F809" t="s">
        <v>1522</v>
      </c>
      <c r="G809" t="s">
        <v>247</v>
      </c>
      <c r="H809" t="s">
        <v>1523</v>
      </c>
      <c r="L809" s="35">
        <v>107680</v>
      </c>
    </row>
    <row r="810" spans="1:12" hidden="1" x14ac:dyDescent="0.25">
      <c r="A810">
        <v>0</v>
      </c>
      <c r="B810" t="s">
        <v>244</v>
      </c>
      <c r="C810" s="18">
        <v>45658</v>
      </c>
      <c r="D810" t="str">
        <f>"8507"</f>
        <v>8507</v>
      </c>
      <c r="E810" s="18">
        <v>45547</v>
      </c>
      <c r="F810" t="s">
        <v>1524</v>
      </c>
      <c r="G810" t="s">
        <v>247</v>
      </c>
      <c r="H810" t="s">
        <v>1525</v>
      </c>
      <c r="L810" s="35">
        <v>136080</v>
      </c>
    </row>
    <row r="811" spans="1:12" hidden="1" x14ac:dyDescent="0.25">
      <c r="A811">
        <v>0</v>
      </c>
      <c r="B811" t="s">
        <v>244</v>
      </c>
      <c r="C811" s="18">
        <v>45658</v>
      </c>
      <c r="D811" t="str">
        <f>"8508"</f>
        <v>8508</v>
      </c>
      <c r="E811" s="18">
        <v>45547</v>
      </c>
      <c r="F811" t="str">
        <f>"4749"</f>
        <v>4749</v>
      </c>
      <c r="G811" t="s">
        <v>247</v>
      </c>
      <c r="H811" t="s">
        <v>1526</v>
      </c>
      <c r="L811" s="35">
        <v>56560</v>
      </c>
    </row>
    <row r="812" spans="1:12" hidden="1" x14ac:dyDescent="0.25">
      <c r="A812">
        <v>0</v>
      </c>
      <c r="B812" t="s">
        <v>244</v>
      </c>
      <c r="C812" s="18">
        <v>45658</v>
      </c>
      <c r="D812" t="str">
        <f>"8509"</f>
        <v>8509</v>
      </c>
      <c r="E812" s="18">
        <v>45553</v>
      </c>
      <c r="F812" t="str">
        <f>"250469"</f>
        <v>250469</v>
      </c>
      <c r="G812" t="s">
        <v>247</v>
      </c>
      <c r="H812" t="s">
        <v>1527</v>
      </c>
      <c r="L812" s="35">
        <v>187840</v>
      </c>
    </row>
    <row r="813" spans="1:12" hidden="1" x14ac:dyDescent="0.25">
      <c r="A813">
        <v>0</v>
      </c>
      <c r="B813" t="s">
        <v>244</v>
      </c>
      <c r="C813" s="18">
        <v>45658</v>
      </c>
      <c r="D813" t="str">
        <f>"8510"</f>
        <v>8510</v>
      </c>
      <c r="E813" s="18">
        <v>45554</v>
      </c>
      <c r="F813" t="str">
        <f>"202409005"</f>
        <v>202409005</v>
      </c>
      <c r="G813" t="s">
        <v>247</v>
      </c>
      <c r="H813" t="s">
        <v>1528</v>
      </c>
      <c r="L813" s="35">
        <v>160000</v>
      </c>
    </row>
    <row r="814" spans="1:12" hidden="1" x14ac:dyDescent="0.25">
      <c r="A814">
        <v>0</v>
      </c>
      <c r="B814" t="s">
        <v>244</v>
      </c>
      <c r="C814" s="18">
        <v>45658</v>
      </c>
      <c r="D814" t="str">
        <f>"8511"</f>
        <v>8511</v>
      </c>
      <c r="E814" s="18">
        <v>45560</v>
      </c>
      <c r="F814" t="s">
        <v>1529</v>
      </c>
      <c r="G814" t="s">
        <v>247</v>
      </c>
      <c r="H814" t="s">
        <v>1530</v>
      </c>
      <c r="L814" s="35">
        <v>983360</v>
      </c>
    </row>
    <row r="815" spans="1:12" hidden="1" x14ac:dyDescent="0.25">
      <c r="A815">
        <v>0</v>
      </c>
      <c r="B815" t="s">
        <v>244</v>
      </c>
      <c r="C815" s="18">
        <v>45658</v>
      </c>
      <c r="D815" t="str">
        <f>"8512"</f>
        <v>8512</v>
      </c>
      <c r="E815" s="18">
        <v>45566</v>
      </c>
      <c r="F815" t="s">
        <v>1531</v>
      </c>
      <c r="G815" t="s">
        <v>247</v>
      </c>
      <c r="H815" t="s">
        <v>1532</v>
      </c>
      <c r="L815" s="35">
        <v>571520</v>
      </c>
    </row>
    <row r="816" spans="1:12" hidden="1" x14ac:dyDescent="0.25">
      <c r="A816">
        <v>0</v>
      </c>
      <c r="B816" t="s">
        <v>244</v>
      </c>
      <c r="C816" s="18">
        <v>45658</v>
      </c>
      <c r="D816" t="str">
        <f>"8513"</f>
        <v>8513</v>
      </c>
      <c r="E816" s="18">
        <v>45566</v>
      </c>
      <c r="F816" t="s">
        <v>1533</v>
      </c>
      <c r="G816" t="s">
        <v>247</v>
      </c>
      <c r="H816" t="s">
        <v>1534</v>
      </c>
      <c r="L816" s="35">
        <v>313600</v>
      </c>
    </row>
    <row r="817" spans="1:12" hidden="1" x14ac:dyDescent="0.25">
      <c r="A817">
        <v>0</v>
      </c>
      <c r="B817" t="s">
        <v>244</v>
      </c>
      <c r="C817" s="18">
        <v>45658</v>
      </c>
      <c r="D817" t="str">
        <f>"8514"</f>
        <v>8514</v>
      </c>
      <c r="E817" s="18">
        <v>45566</v>
      </c>
      <c r="F817" t="str">
        <f>"241075"</f>
        <v>241075</v>
      </c>
      <c r="G817" t="s">
        <v>247</v>
      </c>
      <c r="H817" t="s">
        <v>1535</v>
      </c>
      <c r="L817" s="35">
        <v>88320</v>
      </c>
    </row>
    <row r="818" spans="1:12" hidden="1" x14ac:dyDescent="0.25">
      <c r="A818">
        <v>0</v>
      </c>
      <c r="B818" t="s">
        <v>244</v>
      </c>
      <c r="C818" s="18">
        <v>45658</v>
      </c>
      <c r="D818" t="str">
        <f>"8515"</f>
        <v>8515</v>
      </c>
      <c r="E818" s="18">
        <v>45566</v>
      </c>
      <c r="G818" t="s">
        <v>247</v>
      </c>
      <c r="H818" t="s">
        <v>1536</v>
      </c>
      <c r="L818" s="35">
        <v>3000</v>
      </c>
    </row>
    <row r="819" spans="1:12" hidden="1" x14ac:dyDescent="0.25">
      <c r="A819">
        <v>0</v>
      </c>
      <c r="B819" t="s">
        <v>244</v>
      </c>
      <c r="C819" s="18">
        <v>45658</v>
      </c>
      <c r="D819" t="str">
        <f>"8516"</f>
        <v>8516</v>
      </c>
      <c r="E819" s="18">
        <v>45566</v>
      </c>
      <c r="G819" t="s">
        <v>247</v>
      </c>
      <c r="H819" t="s">
        <v>1537</v>
      </c>
      <c r="L819" s="35">
        <v>3000</v>
      </c>
    </row>
    <row r="820" spans="1:12" hidden="1" x14ac:dyDescent="0.25">
      <c r="A820">
        <v>0</v>
      </c>
      <c r="B820" t="s">
        <v>244</v>
      </c>
      <c r="C820" s="18">
        <v>45658</v>
      </c>
      <c r="D820" t="str">
        <f>"8517"</f>
        <v>8517</v>
      </c>
      <c r="E820" s="18">
        <v>45566</v>
      </c>
      <c r="G820" t="s">
        <v>247</v>
      </c>
      <c r="H820" t="s">
        <v>1538</v>
      </c>
      <c r="L820" s="35">
        <v>9600</v>
      </c>
    </row>
    <row r="821" spans="1:12" hidden="1" x14ac:dyDescent="0.25">
      <c r="A821">
        <v>0</v>
      </c>
      <c r="B821" t="s">
        <v>244</v>
      </c>
      <c r="C821" s="18">
        <v>45658</v>
      </c>
      <c r="D821" t="str">
        <f>"8518"</f>
        <v>8518</v>
      </c>
      <c r="E821" s="18">
        <v>45567</v>
      </c>
      <c r="F821" t="s">
        <v>1539</v>
      </c>
      <c r="G821" t="s">
        <v>247</v>
      </c>
      <c r="H821" t="s">
        <v>1540</v>
      </c>
      <c r="L821" s="35">
        <v>200880</v>
      </c>
    </row>
    <row r="822" spans="1:12" hidden="1" x14ac:dyDescent="0.25">
      <c r="A822">
        <v>0</v>
      </c>
      <c r="B822" t="s">
        <v>244</v>
      </c>
      <c r="C822" s="18">
        <v>45658</v>
      </c>
      <c r="D822" t="str">
        <f>"8519"</f>
        <v>8519</v>
      </c>
      <c r="E822" s="18">
        <v>45567</v>
      </c>
      <c r="F822" t="str">
        <f>"15728278608"</f>
        <v>15728278608</v>
      </c>
      <c r="G822" t="s">
        <v>247</v>
      </c>
      <c r="H822" t="s">
        <v>1541</v>
      </c>
      <c r="L822" s="35">
        <v>85760</v>
      </c>
    </row>
    <row r="823" spans="1:12" hidden="1" x14ac:dyDescent="0.25">
      <c r="A823">
        <v>0</v>
      </c>
      <c r="B823" t="s">
        <v>244</v>
      </c>
      <c r="C823" s="18">
        <v>45658</v>
      </c>
      <c r="D823" t="str">
        <f>"8520"</f>
        <v>8520</v>
      </c>
      <c r="E823" s="18">
        <v>45568</v>
      </c>
      <c r="F823" t="s">
        <v>1542</v>
      </c>
      <c r="G823" t="s">
        <v>247</v>
      </c>
      <c r="H823" t="s">
        <v>1543</v>
      </c>
      <c r="L823" s="35">
        <v>37760</v>
      </c>
    </row>
    <row r="824" spans="1:12" hidden="1" x14ac:dyDescent="0.25">
      <c r="A824">
        <v>0</v>
      </c>
      <c r="B824" t="s">
        <v>244</v>
      </c>
      <c r="C824" s="18">
        <v>45658</v>
      </c>
      <c r="D824" t="str">
        <f>"8521"</f>
        <v>8521</v>
      </c>
      <c r="E824" s="18">
        <v>45569</v>
      </c>
      <c r="F824" t="str">
        <f>"19490"</f>
        <v>19490</v>
      </c>
      <c r="G824" t="s">
        <v>247</v>
      </c>
      <c r="H824" t="s">
        <v>1544</v>
      </c>
      <c r="L824" s="35">
        <v>184000</v>
      </c>
    </row>
    <row r="825" spans="1:12" hidden="1" x14ac:dyDescent="0.25">
      <c r="A825">
        <v>0</v>
      </c>
      <c r="B825" t="s">
        <v>244</v>
      </c>
      <c r="C825" s="18">
        <v>45658</v>
      </c>
      <c r="D825" t="str">
        <f>"8522"</f>
        <v>8522</v>
      </c>
      <c r="E825" s="18">
        <v>45569</v>
      </c>
      <c r="F825" t="s">
        <v>1545</v>
      </c>
      <c r="G825" t="s">
        <v>247</v>
      </c>
      <c r="H825" t="s">
        <v>1546</v>
      </c>
      <c r="L825" s="35">
        <v>326720</v>
      </c>
    </row>
    <row r="826" spans="1:12" hidden="1" x14ac:dyDescent="0.25">
      <c r="A826">
        <v>0</v>
      </c>
      <c r="B826" t="s">
        <v>244</v>
      </c>
      <c r="C826" s="18">
        <v>45658</v>
      </c>
      <c r="D826" t="str">
        <f>"8523"</f>
        <v>8523</v>
      </c>
      <c r="E826" s="18">
        <v>45569</v>
      </c>
      <c r="F826" t="str">
        <f>"20606"</f>
        <v>20606</v>
      </c>
      <c r="G826" t="s">
        <v>247</v>
      </c>
      <c r="H826" t="s">
        <v>1547</v>
      </c>
      <c r="L826" s="35">
        <v>112000</v>
      </c>
    </row>
    <row r="827" spans="1:12" hidden="1" x14ac:dyDescent="0.25">
      <c r="A827">
        <v>0</v>
      </c>
      <c r="B827" t="s">
        <v>244</v>
      </c>
      <c r="C827" s="18">
        <v>45658</v>
      </c>
      <c r="D827" t="str">
        <f>"8524"</f>
        <v>8524</v>
      </c>
      <c r="E827" s="18">
        <v>45572</v>
      </c>
      <c r="F827" t="s">
        <v>1548</v>
      </c>
      <c r="G827" t="s">
        <v>247</v>
      </c>
      <c r="H827" t="s">
        <v>1549</v>
      </c>
      <c r="L827" s="35">
        <v>16000</v>
      </c>
    </row>
    <row r="828" spans="1:12" hidden="1" x14ac:dyDescent="0.25">
      <c r="A828">
        <v>0</v>
      </c>
      <c r="B828" t="s">
        <v>244</v>
      </c>
      <c r="C828" s="18">
        <v>45658</v>
      </c>
      <c r="D828" t="str">
        <f>"8525"</f>
        <v>8525</v>
      </c>
      <c r="E828" s="18">
        <v>45572</v>
      </c>
      <c r="F828" t="s">
        <v>1550</v>
      </c>
      <c r="G828" t="s">
        <v>247</v>
      </c>
      <c r="H828" t="s">
        <v>1551</v>
      </c>
      <c r="L828" s="35">
        <v>40000</v>
      </c>
    </row>
    <row r="829" spans="1:12" hidden="1" x14ac:dyDescent="0.25">
      <c r="A829">
        <v>0</v>
      </c>
      <c r="B829" t="s">
        <v>244</v>
      </c>
      <c r="C829" s="18">
        <v>45658</v>
      </c>
      <c r="D829" t="str">
        <f>"8526"</f>
        <v>8526</v>
      </c>
      <c r="E829" s="18">
        <v>45572</v>
      </c>
      <c r="F829" t="str">
        <f>"03537"</f>
        <v>03537</v>
      </c>
      <c r="G829" t="s">
        <v>247</v>
      </c>
      <c r="H829" t="s">
        <v>1552</v>
      </c>
      <c r="L829" s="35">
        <v>21600</v>
      </c>
    </row>
    <row r="830" spans="1:12" hidden="1" x14ac:dyDescent="0.25">
      <c r="A830">
        <v>0</v>
      </c>
      <c r="B830" t="s">
        <v>244</v>
      </c>
      <c r="C830" s="18">
        <v>45658</v>
      </c>
      <c r="D830" t="str">
        <f>"8527"</f>
        <v>8527</v>
      </c>
      <c r="E830" s="18">
        <v>45572</v>
      </c>
      <c r="F830" s="18">
        <v>45530</v>
      </c>
      <c r="G830" t="s">
        <v>247</v>
      </c>
      <c r="H830" t="s">
        <v>1553</v>
      </c>
      <c r="L830" s="35">
        <v>1000000</v>
      </c>
    </row>
    <row r="831" spans="1:12" hidden="1" x14ac:dyDescent="0.25">
      <c r="A831">
        <v>0</v>
      </c>
      <c r="B831" t="s">
        <v>244</v>
      </c>
      <c r="C831" s="18">
        <v>45658</v>
      </c>
      <c r="D831" t="str">
        <f>"8528"</f>
        <v>8528</v>
      </c>
      <c r="E831" s="18">
        <v>45572</v>
      </c>
      <c r="F831" t="str">
        <f>"16505"</f>
        <v>16505</v>
      </c>
      <c r="G831" t="s">
        <v>247</v>
      </c>
      <c r="H831" t="s">
        <v>1554</v>
      </c>
      <c r="L831" s="35">
        <v>720000</v>
      </c>
    </row>
    <row r="832" spans="1:12" hidden="1" x14ac:dyDescent="0.25">
      <c r="A832">
        <v>0</v>
      </c>
      <c r="B832" t="s">
        <v>244</v>
      </c>
      <c r="C832" s="18">
        <v>45658</v>
      </c>
      <c r="D832" t="str">
        <f>"8529"</f>
        <v>8529</v>
      </c>
      <c r="E832" s="18">
        <v>45572</v>
      </c>
      <c r="F832" t="s">
        <v>1555</v>
      </c>
      <c r="G832" t="s">
        <v>247</v>
      </c>
      <c r="H832" t="s">
        <v>1556</v>
      </c>
      <c r="L832" s="35">
        <v>384240</v>
      </c>
    </row>
    <row r="833" spans="1:12" hidden="1" x14ac:dyDescent="0.25">
      <c r="A833">
        <v>0</v>
      </c>
      <c r="B833" t="s">
        <v>244</v>
      </c>
      <c r="C833" s="18">
        <v>45658</v>
      </c>
      <c r="D833" t="str">
        <f>"8530"</f>
        <v>8530</v>
      </c>
      <c r="E833" s="18">
        <v>45572</v>
      </c>
      <c r="F833" t="s">
        <v>1557</v>
      </c>
      <c r="G833" t="s">
        <v>247</v>
      </c>
      <c r="H833" t="s">
        <v>1551</v>
      </c>
      <c r="L833" s="35">
        <v>80000</v>
      </c>
    </row>
    <row r="834" spans="1:12" hidden="1" x14ac:dyDescent="0.25">
      <c r="A834">
        <v>0</v>
      </c>
      <c r="B834" t="s">
        <v>244</v>
      </c>
      <c r="C834" s="18">
        <v>45658</v>
      </c>
      <c r="D834" t="str">
        <f>"8531"</f>
        <v>8531</v>
      </c>
      <c r="E834" s="18">
        <v>45572</v>
      </c>
      <c r="F834" t="s">
        <v>1558</v>
      </c>
      <c r="G834" t="s">
        <v>247</v>
      </c>
      <c r="H834" t="s">
        <v>1559</v>
      </c>
      <c r="L834" s="35">
        <v>77040</v>
      </c>
    </row>
    <row r="835" spans="1:12" hidden="1" x14ac:dyDescent="0.25">
      <c r="A835">
        <v>0</v>
      </c>
      <c r="B835" t="s">
        <v>244</v>
      </c>
      <c r="C835" s="18">
        <v>45658</v>
      </c>
      <c r="D835" t="str">
        <f>"8532"</f>
        <v>8532</v>
      </c>
      <c r="E835" s="18">
        <v>45574</v>
      </c>
      <c r="G835" t="s">
        <v>247</v>
      </c>
      <c r="H835" t="s">
        <v>1560</v>
      </c>
      <c r="L835" s="35">
        <v>9600</v>
      </c>
    </row>
    <row r="836" spans="1:12" hidden="1" x14ac:dyDescent="0.25">
      <c r="A836">
        <v>0</v>
      </c>
      <c r="B836" t="s">
        <v>244</v>
      </c>
      <c r="C836" s="18">
        <v>45658</v>
      </c>
      <c r="D836" t="str">
        <f>"8533"</f>
        <v>8533</v>
      </c>
      <c r="E836" s="18">
        <v>45574</v>
      </c>
      <c r="G836" t="s">
        <v>247</v>
      </c>
      <c r="H836" t="s">
        <v>1561</v>
      </c>
      <c r="L836" s="35">
        <v>9600</v>
      </c>
    </row>
    <row r="837" spans="1:12" hidden="1" x14ac:dyDescent="0.25">
      <c r="A837">
        <v>0</v>
      </c>
      <c r="B837" t="s">
        <v>244</v>
      </c>
      <c r="C837" s="18">
        <v>45658</v>
      </c>
      <c r="D837" t="str">
        <f>"8534"</f>
        <v>8534</v>
      </c>
      <c r="E837" s="18">
        <v>45575</v>
      </c>
      <c r="F837" t="str">
        <f>"1763"</f>
        <v>1763</v>
      </c>
      <c r="G837" t="s">
        <v>247</v>
      </c>
      <c r="H837" t="s">
        <v>1562</v>
      </c>
      <c r="L837" s="35">
        <v>760000</v>
      </c>
    </row>
    <row r="838" spans="1:12" hidden="1" x14ac:dyDescent="0.25">
      <c r="A838">
        <v>0</v>
      </c>
      <c r="B838" t="s">
        <v>244</v>
      </c>
      <c r="C838" s="18">
        <v>45658</v>
      </c>
      <c r="D838" t="str">
        <f>"8535"</f>
        <v>8535</v>
      </c>
      <c r="E838" s="18">
        <v>45576</v>
      </c>
      <c r="F838" t="str">
        <f>"20642"</f>
        <v>20642</v>
      </c>
      <c r="G838" t="s">
        <v>247</v>
      </c>
      <c r="H838" t="s">
        <v>1563</v>
      </c>
      <c r="L838" s="35">
        <v>610147</v>
      </c>
    </row>
    <row r="839" spans="1:12" hidden="1" x14ac:dyDescent="0.25">
      <c r="A839">
        <v>0</v>
      </c>
      <c r="B839" t="s">
        <v>244</v>
      </c>
      <c r="C839" s="18">
        <v>45658</v>
      </c>
      <c r="D839" t="str">
        <f>"8536"</f>
        <v>8536</v>
      </c>
      <c r="E839" s="18">
        <v>45580</v>
      </c>
      <c r="G839" t="s">
        <v>247</v>
      </c>
      <c r="H839" t="s">
        <v>1564</v>
      </c>
      <c r="L839" s="35">
        <v>9600</v>
      </c>
    </row>
    <row r="840" spans="1:12" hidden="1" x14ac:dyDescent="0.25">
      <c r="A840">
        <v>0</v>
      </c>
      <c r="B840" t="s">
        <v>244</v>
      </c>
      <c r="C840" s="18">
        <v>45658</v>
      </c>
      <c r="D840" t="str">
        <f>"8537"</f>
        <v>8537</v>
      </c>
      <c r="E840" s="18">
        <v>45588</v>
      </c>
      <c r="G840" t="s">
        <v>247</v>
      </c>
      <c r="H840" t="s">
        <v>1565</v>
      </c>
      <c r="L840" s="35">
        <v>3000</v>
      </c>
    </row>
    <row r="841" spans="1:12" hidden="1" x14ac:dyDescent="0.25">
      <c r="A841">
        <v>0</v>
      </c>
      <c r="B841" t="s">
        <v>244</v>
      </c>
      <c r="C841" s="18">
        <v>45658</v>
      </c>
      <c r="D841" t="str">
        <f>"8538"</f>
        <v>8538</v>
      </c>
      <c r="E841" s="18">
        <v>45588</v>
      </c>
      <c r="G841" t="s">
        <v>247</v>
      </c>
      <c r="H841" t="s">
        <v>1566</v>
      </c>
      <c r="L841" s="35">
        <v>3000</v>
      </c>
    </row>
    <row r="842" spans="1:12" hidden="1" x14ac:dyDescent="0.25">
      <c r="A842">
        <v>0</v>
      </c>
      <c r="B842" t="s">
        <v>244</v>
      </c>
      <c r="C842" s="18">
        <v>45658</v>
      </c>
      <c r="D842" t="str">
        <f>"8539"</f>
        <v>8539</v>
      </c>
      <c r="E842" s="18">
        <v>45588</v>
      </c>
      <c r="G842" t="s">
        <v>247</v>
      </c>
      <c r="H842" t="s">
        <v>1567</v>
      </c>
      <c r="L842" s="35">
        <v>9600</v>
      </c>
    </row>
    <row r="843" spans="1:12" hidden="1" x14ac:dyDescent="0.25">
      <c r="A843">
        <v>0</v>
      </c>
      <c r="B843" t="s">
        <v>244</v>
      </c>
      <c r="C843" s="18">
        <v>45658</v>
      </c>
      <c r="D843" t="str">
        <f>"8540"</f>
        <v>8540</v>
      </c>
      <c r="E843" t="str">
        <f>"00013090"</f>
        <v>00013090</v>
      </c>
      <c r="G843" t="s">
        <v>247</v>
      </c>
      <c r="H843" t="s">
        <v>1568</v>
      </c>
      <c r="L843" s="35">
        <v>19099748.5</v>
      </c>
    </row>
    <row r="844" spans="1:12" hidden="1" x14ac:dyDescent="0.25">
      <c r="A844">
        <v>0</v>
      </c>
      <c r="B844" t="s">
        <v>244</v>
      </c>
      <c r="C844" s="18">
        <v>45658</v>
      </c>
      <c r="D844" t="str">
        <f>"8541"</f>
        <v>8541</v>
      </c>
      <c r="E844" s="18">
        <v>45593</v>
      </c>
      <c r="G844" t="s">
        <v>247</v>
      </c>
      <c r="H844" t="s">
        <v>1569</v>
      </c>
      <c r="L844" s="35">
        <v>4178406.06</v>
      </c>
    </row>
    <row r="845" spans="1:12" hidden="1" x14ac:dyDescent="0.25">
      <c r="A845">
        <v>0</v>
      </c>
      <c r="B845" t="s">
        <v>244</v>
      </c>
      <c r="C845" s="18">
        <v>45658</v>
      </c>
      <c r="D845" t="str">
        <f>"8542"</f>
        <v>8542</v>
      </c>
      <c r="E845" s="18">
        <v>45596</v>
      </c>
      <c r="G845" t="s">
        <v>247</v>
      </c>
      <c r="H845" t="s">
        <v>1570</v>
      </c>
      <c r="L845" s="35">
        <v>10800</v>
      </c>
    </row>
    <row r="846" spans="1:12" hidden="1" x14ac:dyDescent="0.25">
      <c r="A846">
        <v>0</v>
      </c>
      <c r="B846" t="s">
        <v>244</v>
      </c>
      <c r="C846" s="18">
        <v>45658</v>
      </c>
      <c r="D846" t="str">
        <f>"8543"</f>
        <v>8543</v>
      </c>
      <c r="E846" s="18">
        <v>45596</v>
      </c>
      <c r="G846" t="s">
        <v>247</v>
      </c>
      <c r="H846" t="s">
        <v>1571</v>
      </c>
      <c r="L846" s="35">
        <v>11711.71</v>
      </c>
    </row>
    <row r="847" spans="1:12" hidden="1" x14ac:dyDescent="0.25">
      <c r="A847">
        <v>0</v>
      </c>
      <c r="B847" t="s">
        <v>244</v>
      </c>
      <c r="C847" s="18">
        <v>45658</v>
      </c>
      <c r="D847" t="str">
        <f>"8544"</f>
        <v>8544</v>
      </c>
      <c r="E847" s="18">
        <v>45597</v>
      </c>
      <c r="F847" t="str">
        <f>"20875"</f>
        <v>20875</v>
      </c>
      <c r="G847" t="s">
        <v>247</v>
      </c>
      <c r="H847" t="s">
        <v>1572</v>
      </c>
      <c r="L847" s="35">
        <v>32000</v>
      </c>
    </row>
    <row r="848" spans="1:12" hidden="1" x14ac:dyDescent="0.25">
      <c r="A848">
        <v>0</v>
      </c>
      <c r="B848" t="s">
        <v>250</v>
      </c>
      <c r="C848" s="18">
        <v>45870</v>
      </c>
      <c r="D848" t="str">
        <f>"8544"</f>
        <v>8544</v>
      </c>
      <c r="E848" s="18">
        <v>45870</v>
      </c>
      <c r="F848" t="str">
        <f>"25115"</f>
        <v>25115</v>
      </c>
      <c r="G848" t="s">
        <v>247</v>
      </c>
      <c r="H848" t="s">
        <v>1573</v>
      </c>
      <c r="L848" s="35">
        <v>224400</v>
      </c>
    </row>
    <row r="849" spans="1:12" hidden="1" x14ac:dyDescent="0.25">
      <c r="A849">
        <v>0</v>
      </c>
      <c r="B849" t="s">
        <v>244</v>
      </c>
      <c r="C849" s="18">
        <v>45658</v>
      </c>
      <c r="D849" t="str">
        <f>"8545"</f>
        <v>8545</v>
      </c>
      <c r="E849" s="18">
        <v>45597</v>
      </c>
      <c r="F849" t="str">
        <f>"20929"</f>
        <v>20929</v>
      </c>
      <c r="G849" t="s">
        <v>247</v>
      </c>
      <c r="H849" t="s">
        <v>1574</v>
      </c>
      <c r="L849" s="35">
        <v>351356</v>
      </c>
    </row>
    <row r="850" spans="1:12" hidden="1" x14ac:dyDescent="0.25">
      <c r="A850">
        <v>0</v>
      </c>
      <c r="B850" t="s">
        <v>244</v>
      </c>
      <c r="C850" s="18">
        <v>45658</v>
      </c>
      <c r="D850" t="str">
        <f>"8546"</f>
        <v>8546</v>
      </c>
      <c r="E850" s="18">
        <v>45600</v>
      </c>
      <c r="G850" t="s">
        <v>247</v>
      </c>
      <c r="H850" t="s">
        <v>1575</v>
      </c>
      <c r="L850" s="35">
        <v>3000</v>
      </c>
    </row>
    <row r="851" spans="1:12" hidden="1" x14ac:dyDescent="0.25">
      <c r="A851">
        <v>0</v>
      </c>
      <c r="B851" t="s">
        <v>244</v>
      </c>
      <c r="C851" s="18">
        <v>45658</v>
      </c>
      <c r="D851" t="str">
        <f>"8547"</f>
        <v>8547</v>
      </c>
      <c r="E851" s="18">
        <v>45601</v>
      </c>
      <c r="F851" t="s">
        <v>1576</v>
      </c>
      <c r="G851" t="s">
        <v>247</v>
      </c>
      <c r="H851" t="s">
        <v>1577</v>
      </c>
      <c r="L851" s="35">
        <v>386640</v>
      </c>
    </row>
    <row r="852" spans="1:12" hidden="1" x14ac:dyDescent="0.25">
      <c r="A852">
        <v>0</v>
      </c>
      <c r="B852" t="s">
        <v>244</v>
      </c>
      <c r="C852" s="18">
        <v>45658</v>
      </c>
      <c r="D852" t="str">
        <f>"8548"</f>
        <v>8548</v>
      </c>
      <c r="E852" s="18">
        <v>45601</v>
      </c>
      <c r="F852" t="str">
        <f>"343098"</f>
        <v>343098</v>
      </c>
      <c r="G852" t="s">
        <v>247</v>
      </c>
      <c r="H852" t="s">
        <v>1578</v>
      </c>
      <c r="L852" s="35">
        <v>1724928</v>
      </c>
    </row>
    <row r="853" spans="1:12" hidden="1" x14ac:dyDescent="0.25">
      <c r="A853">
        <v>0</v>
      </c>
      <c r="B853" t="s">
        <v>244</v>
      </c>
      <c r="C853" s="18">
        <v>45658</v>
      </c>
      <c r="D853" t="str">
        <f>"8549"</f>
        <v>8549</v>
      </c>
      <c r="E853" s="18">
        <v>45601</v>
      </c>
      <c r="F853" t="s">
        <v>1579</v>
      </c>
      <c r="G853" t="s">
        <v>247</v>
      </c>
      <c r="H853" t="s">
        <v>1580</v>
      </c>
      <c r="L853" s="35">
        <v>961440</v>
      </c>
    </row>
    <row r="854" spans="1:12" hidden="1" x14ac:dyDescent="0.25">
      <c r="A854">
        <v>0</v>
      </c>
      <c r="B854" t="s">
        <v>244</v>
      </c>
      <c r="C854" s="18">
        <v>45658</v>
      </c>
      <c r="D854" t="str">
        <f>"8550"</f>
        <v>8550</v>
      </c>
      <c r="E854" s="18">
        <v>45601</v>
      </c>
      <c r="F854" t="s">
        <v>1581</v>
      </c>
      <c r="G854" t="s">
        <v>247</v>
      </c>
      <c r="H854" t="s">
        <v>1582</v>
      </c>
      <c r="L854" s="35">
        <v>62080</v>
      </c>
    </row>
    <row r="855" spans="1:12" hidden="1" x14ac:dyDescent="0.25">
      <c r="A855">
        <v>0</v>
      </c>
      <c r="B855" t="s">
        <v>244</v>
      </c>
      <c r="C855" s="18">
        <v>45658</v>
      </c>
      <c r="D855" t="str">
        <f>"8551"</f>
        <v>8551</v>
      </c>
      <c r="E855" s="18">
        <v>45601</v>
      </c>
      <c r="F855" t="s">
        <v>1583</v>
      </c>
      <c r="G855" t="s">
        <v>247</v>
      </c>
      <c r="H855" t="s">
        <v>1584</v>
      </c>
      <c r="L855" s="35">
        <v>32000</v>
      </c>
    </row>
    <row r="856" spans="1:12" hidden="1" x14ac:dyDescent="0.25">
      <c r="A856">
        <v>0</v>
      </c>
      <c r="B856" t="s">
        <v>244</v>
      </c>
      <c r="C856" s="18">
        <v>45658</v>
      </c>
      <c r="D856" t="str">
        <f>"8552"</f>
        <v>8552</v>
      </c>
      <c r="E856" s="18">
        <v>45601</v>
      </c>
      <c r="G856" t="s">
        <v>247</v>
      </c>
      <c r="H856" t="s">
        <v>1585</v>
      </c>
      <c r="L856" s="35">
        <v>3000</v>
      </c>
    </row>
    <row r="857" spans="1:12" hidden="1" x14ac:dyDescent="0.25">
      <c r="A857">
        <v>0</v>
      </c>
      <c r="B857" t="s">
        <v>244</v>
      </c>
      <c r="C857" s="18">
        <v>45658</v>
      </c>
      <c r="D857" t="str">
        <f>"8553"</f>
        <v>8553</v>
      </c>
      <c r="E857" s="18">
        <v>45601</v>
      </c>
      <c r="G857" t="s">
        <v>247</v>
      </c>
      <c r="H857" t="s">
        <v>1586</v>
      </c>
      <c r="L857" s="35">
        <v>3000</v>
      </c>
    </row>
    <row r="858" spans="1:12" hidden="1" x14ac:dyDescent="0.25">
      <c r="A858">
        <v>0</v>
      </c>
      <c r="B858" t="s">
        <v>244</v>
      </c>
      <c r="C858" s="18">
        <v>45658</v>
      </c>
      <c r="D858" t="str">
        <f>"8554"</f>
        <v>8554</v>
      </c>
      <c r="E858" s="18">
        <v>45602</v>
      </c>
      <c r="F858" t="str">
        <f>"060924"</f>
        <v>060924</v>
      </c>
      <c r="G858" t="s">
        <v>247</v>
      </c>
      <c r="H858" t="s">
        <v>1587</v>
      </c>
      <c r="L858" s="35">
        <v>576000</v>
      </c>
    </row>
    <row r="859" spans="1:12" hidden="1" x14ac:dyDescent="0.25">
      <c r="A859">
        <v>0</v>
      </c>
      <c r="B859" t="s">
        <v>244</v>
      </c>
      <c r="C859" s="18">
        <v>45658</v>
      </c>
      <c r="D859" t="str">
        <f>"8555"</f>
        <v>8555</v>
      </c>
      <c r="E859" s="18">
        <v>45602</v>
      </c>
      <c r="F859" t="s">
        <v>1588</v>
      </c>
      <c r="G859" t="s">
        <v>247</v>
      </c>
      <c r="H859" t="s">
        <v>1577</v>
      </c>
      <c r="L859" s="35">
        <v>664920</v>
      </c>
    </row>
    <row r="860" spans="1:12" hidden="1" x14ac:dyDescent="0.25">
      <c r="A860">
        <v>0</v>
      </c>
      <c r="B860" t="s">
        <v>244</v>
      </c>
      <c r="C860" s="18">
        <v>45658</v>
      </c>
      <c r="D860" t="str">
        <f>"8556"</f>
        <v>8556</v>
      </c>
      <c r="E860" s="18">
        <v>45602</v>
      </c>
      <c r="F860" t="s">
        <v>1589</v>
      </c>
      <c r="G860" t="s">
        <v>247</v>
      </c>
      <c r="H860" t="s">
        <v>1584</v>
      </c>
      <c r="L860" s="35">
        <v>96000</v>
      </c>
    </row>
    <row r="861" spans="1:12" hidden="1" x14ac:dyDescent="0.25">
      <c r="A861">
        <v>0</v>
      </c>
      <c r="B861" t="s">
        <v>244</v>
      </c>
      <c r="C861" s="18">
        <v>45658</v>
      </c>
      <c r="D861" t="str">
        <f>"8557"</f>
        <v>8557</v>
      </c>
      <c r="E861" s="18">
        <v>45602</v>
      </c>
      <c r="F861" t="s">
        <v>1590</v>
      </c>
      <c r="G861" t="s">
        <v>247</v>
      </c>
      <c r="H861" t="s">
        <v>1591</v>
      </c>
      <c r="L861" s="35">
        <v>28320</v>
      </c>
    </row>
    <row r="862" spans="1:12" hidden="1" x14ac:dyDescent="0.25">
      <c r="A862">
        <v>0</v>
      </c>
      <c r="B862" t="s">
        <v>244</v>
      </c>
      <c r="C862" s="18">
        <v>45658</v>
      </c>
      <c r="D862" t="str">
        <f>"8558"</f>
        <v>8558</v>
      </c>
      <c r="E862" s="18">
        <v>45602</v>
      </c>
      <c r="F862" t="s">
        <v>1592</v>
      </c>
      <c r="G862" t="s">
        <v>247</v>
      </c>
      <c r="H862" t="s">
        <v>1593</v>
      </c>
      <c r="L862" s="35">
        <v>295200</v>
      </c>
    </row>
    <row r="863" spans="1:12" hidden="1" x14ac:dyDescent="0.25">
      <c r="A863">
        <v>0</v>
      </c>
      <c r="B863" t="s">
        <v>244</v>
      </c>
      <c r="C863" s="18">
        <v>45658</v>
      </c>
      <c r="D863" t="str">
        <f>"8559"</f>
        <v>8559</v>
      </c>
      <c r="E863" s="18">
        <v>45603</v>
      </c>
      <c r="F863" t="s">
        <v>1594</v>
      </c>
      <c r="G863" t="s">
        <v>247</v>
      </c>
      <c r="H863" t="s">
        <v>1595</v>
      </c>
      <c r="L863" s="35">
        <v>1204960</v>
      </c>
    </row>
    <row r="864" spans="1:12" hidden="1" x14ac:dyDescent="0.25">
      <c r="A864">
        <v>0</v>
      </c>
      <c r="B864" t="s">
        <v>244</v>
      </c>
      <c r="C864" s="18">
        <v>45658</v>
      </c>
      <c r="D864" t="str">
        <f>"8560"</f>
        <v>8560</v>
      </c>
      <c r="E864" s="18">
        <v>45607</v>
      </c>
      <c r="F864" t="s">
        <v>1596</v>
      </c>
      <c r="G864" t="s">
        <v>247</v>
      </c>
      <c r="H864" t="s">
        <v>1597</v>
      </c>
      <c r="L864" s="35">
        <v>30000</v>
      </c>
    </row>
    <row r="865" spans="1:12" hidden="1" x14ac:dyDescent="0.25">
      <c r="A865">
        <v>0</v>
      </c>
      <c r="B865" t="s">
        <v>244</v>
      </c>
      <c r="C865" s="18">
        <v>45658</v>
      </c>
      <c r="D865" t="str">
        <f>"8561"</f>
        <v>8561</v>
      </c>
      <c r="E865" s="18">
        <v>45607</v>
      </c>
      <c r="F865" t="s">
        <v>1598</v>
      </c>
      <c r="G865" t="s">
        <v>247</v>
      </c>
      <c r="H865" t="s">
        <v>1599</v>
      </c>
      <c r="L865" s="35">
        <v>24000</v>
      </c>
    </row>
    <row r="866" spans="1:12" hidden="1" x14ac:dyDescent="0.25">
      <c r="A866">
        <v>0</v>
      </c>
      <c r="B866" t="s">
        <v>244</v>
      </c>
      <c r="C866" s="18">
        <v>45658</v>
      </c>
      <c r="D866" t="str">
        <f>"8562"</f>
        <v>8562</v>
      </c>
      <c r="E866" s="18">
        <v>45609</v>
      </c>
      <c r="F866" t="s">
        <v>1600</v>
      </c>
      <c r="G866" t="s">
        <v>247</v>
      </c>
      <c r="H866" t="s">
        <v>1601</v>
      </c>
      <c r="L866" s="35">
        <v>101360</v>
      </c>
    </row>
    <row r="867" spans="1:12" hidden="1" x14ac:dyDescent="0.25">
      <c r="A867">
        <v>0</v>
      </c>
      <c r="B867" t="s">
        <v>244</v>
      </c>
      <c r="C867" s="18">
        <v>45658</v>
      </c>
      <c r="D867" t="str">
        <f>"8563"</f>
        <v>8563</v>
      </c>
      <c r="E867" s="18">
        <v>45609</v>
      </c>
      <c r="F867" t="s">
        <v>1602</v>
      </c>
      <c r="G867" t="s">
        <v>247</v>
      </c>
      <c r="H867" t="s">
        <v>1603</v>
      </c>
      <c r="L867" s="35">
        <v>72000</v>
      </c>
    </row>
    <row r="868" spans="1:12" hidden="1" x14ac:dyDescent="0.25">
      <c r="A868">
        <v>0</v>
      </c>
      <c r="B868" t="s">
        <v>244</v>
      </c>
      <c r="C868" s="18">
        <v>45658</v>
      </c>
      <c r="D868" t="str">
        <f>"8564"</f>
        <v>8564</v>
      </c>
      <c r="E868" s="18">
        <v>45610</v>
      </c>
      <c r="F868" t="str">
        <f>"241369"</f>
        <v>241369</v>
      </c>
      <c r="G868" t="s">
        <v>247</v>
      </c>
      <c r="H868" t="s">
        <v>1604</v>
      </c>
      <c r="L868" s="35">
        <v>54000</v>
      </c>
    </row>
    <row r="869" spans="1:12" hidden="1" x14ac:dyDescent="0.25">
      <c r="A869">
        <v>0</v>
      </c>
      <c r="B869" t="s">
        <v>244</v>
      </c>
      <c r="C869" s="18">
        <v>45658</v>
      </c>
      <c r="D869" t="str">
        <f>"8565"</f>
        <v>8565</v>
      </c>
      <c r="E869" s="18">
        <v>45614</v>
      </c>
      <c r="G869" t="s">
        <v>247</v>
      </c>
      <c r="H869" t="s">
        <v>1605</v>
      </c>
      <c r="L869" s="35">
        <v>3000</v>
      </c>
    </row>
    <row r="870" spans="1:12" hidden="1" x14ac:dyDescent="0.25">
      <c r="A870">
        <v>0</v>
      </c>
      <c r="B870" t="s">
        <v>244</v>
      </c>
      <c r="C870" s="18">
        <v>45658</v>
      </c>
      <c r="D870" t="str">
        <f>"8566"</f>
        <v>8566</v>
      </c>
      <c r="E870" s="18">
        <v>45614</v>
      </c>
      <c r="G870" t="s">
        <v>247</v>
      </c>
      <c r="H870" t="s">
        <v>1606</v>
      </c>
      <c r="L870" s="35">
        <v>9600</v>
      </c>
    </row>
    <row r="871" spans="1:12" hidden="1" x14ac:dyDescent="0.25">
      <c r="A871">
        <v>0</v>
      </c>
      <c r="B871" t="s">
        <v>244</v>
      </c>
      <c r="C871" s="18">
        <v>45658</v>
      </c>
      <c r="D871" t="str">
        <f>"8567"</f>
        <v>8567</v>
      </c>
      <c r="E871" s="18">
        <v>45614</v>
      </c>
      <c r="G871" t="s">
        <v>247</v>
      </c>
      <c r="H871" t="s">
        <v>1607</v>
      </c>
      <c r="L871" s="35">
        <v>9600</v>
      </c>
    </row>
    <row r="872" spans="1:12" hidden="1" x14ac:dyDescent="0.25">
      <c r="A872">
        <v>0</v>
      </c>
      <c r="B872" t="s">
        <v>244</v>
      </c>
      <c r="C872" s="18">
        <v>45658</v>
      </c>
      <c r="D872" t="str">
        <f>"8568"</f>
        <v>8568</v>
      </c>
      <c r="E872" s="18">
        <v>45614</v>
      </c>
      <c r="G872" t="s">
        <v>247</v>
      </c>
      <c r="H872" t="s">
        <v>1608</v>
      </c>
      <c r="L872" s="35">
        <v>9600</v>
      </c>
    </row>
    <row r="873" spans="1:12" hidden="1" x14ac:dyDescent="0.25">
      <c r="A873">
        <v>0</v>
      </c>
      <c r="B873" t="s">
        <v>244</v>
      </c>
      <c r="C873" s="18">
        <v>45658</v>
      </c>
      <c r="D873" t="str">
        <f>"8569"</f>
        <v>8569</v>
      </c>
      <c r="E873" s="18">
        <v>45614</v>
      </c>
      <c r="G873" t="s">
        <v>247</v>
      </c>
      <c r="H873" t="s">
        <v>1609</v>
      </c>
      <c r="L873" s="35">
        <v>9600</v>
      </c>
    </row>
    <row r="874" spans="1:12" hidden="1" x14ac:dyDescent="0.25">
      <c r="A874">
        <v>0</v>
      </c>
      <c r="B874" t="s">
        <v>244</v>
      </c>
      <c r="C874" s="18">
        <v>45658</v>
      </c>
      <c r="D874" t="str">
        <f>"8570"</f>
        <v>8570</v>
      </c>
      <c r="E874" s="18">
        <v>45616</v>
      </c>
      <c r="F874" t="s">
        <v>1610</v>
      </c>
      <c r="G874" t="s">
        <v>247</v>
      </c>
      <c r="H874" t="s">
        <v>1611</v>
      </c>
      <c r="L874" s="35">
        <v>43840</v>
      </c>
    </row>
    <row r="875" spans="1:12" hidden="1" x14ac:dyDescent="0.25">
      <c r="A875">
        <v>0</v>
      </c>
      <c r="B875" t="s">
        <v>244</v>
      </c>
      <c r="C875" s="18">
        <v>45658</v>
      </c>
      <c r="D875" t="str">
        <f>"8571"</f>
        <v>8571</v>
      </c>
      <c r="E875" s="18">
        <v>45624</v>
      </c>
      <c r="F875" t="s">
        <v>1612</v>
      </c>
      <c r="G875" t="s">
        <v>247</v>
      </c>
      <c r="H875" t="s">
        <v>1577</v>
      </c>
      <c r="L875" s="35">
        <v>247320</v>
      </c>
    </row>
    <row r="876" spans="1:12" hidden="1" x14ac:dyDescent="0.25">
      <c r="A876">
        <v>0</v>
      </c>
      <c r="B876" t="s">
        <v>244</v>
      </c>
      <c r="C876" s="18">
        <v>45658</v>
      </c>
      <c r="D876" t="str">
        <f>"8572"</f>
        <v>8572</v>
      </c>
      <c r="E876" s="18">
        <v>45624</v>
      </c>
      <c r="F876" t="s">
        <v>1613</v>
      </c>
      <c r="G876" t="s">
        <v>247</v>
      </c>
      <c r="H876" t="s">
        <v>1614</v>
      </c>
      <c r="L876" s="35">
        <v>32640</v>
      </c>
    </row>
    <row r="877" spans="1:12" hidden="1" x14ac:dyDescent="0.25">
      <c r="A877">
        <v>0</v>
      </c>
      <c r="B877" t="s">
        <v>244</v>
      </c>
      <c r="C877" s="18">
        <v>45658</v>
      </c>
      <c r="D877" t="str">
        <f>"8573"</f>
        <v>8573</v>
      </c>
      <c r="E877" s="18">
        <v>45624</v>
      </c>
      <c r="G877" t="s">
        <v>247</v>
      </c>
      <c r="H877" t="s">
        <v>1615</v>
      </c>
      <c r="L877" s="35">
        <v>3000</v>
      </c>
    </row>
    <row r="878" spans="1:12" hidden="1" x14ac:dyDescent="0.25">
      <c r="A878">
        <v>0</v>
      </c>
      <c r="B878" t="s">
        <v>244</v>
      </c>
      <c r="C878" s="18">
        <v>45658</v>
      </c>
      <c r="D878" t="str">
        <f>"8574"</f>
        <v>8574</v>
      </c>
      <c r="E878" s="18">
        <v>45624</v>
      </c>
      <c r="G878" t="s">
        <v>247</v>
      </c>
      <c r="H878" t="s">
        <v>1616</v>
      </c>
      <c r="L878" s="35">
        <v>3000</v>
      </c>
    </row>
    <row r="879" spans="1:12" hidden="1" x14ac:dyDescent="0.25">
      <c r="A879">
        <v>0</v>
      </c>
      <c r="B879" t="s">
        <v>244</v>
      </c>
      <c r="C879" s="18">
        <v>45658</v>
      </c>
      <c r="D879" t="str">
        <f>"8575"</f>
        <v>8575</v>
      </c>
      <c r="E879" s="18">
        <v>45624</v>
      </c>
      <c r="G879" t="s">
        <v>247</v>
      </c>
      <c r="H879" t="s">
        <v>1617</v>
      </c>
      <c r="L879" s="35">
        <v>3000</v>
      </c>
    </row>
    <row r="880" spans="1:12" hidden="1" x14ac:dyDescent="0.25">
      <c r="A880">
        <v>0</v>
      </c>
      <c r="B880" t="s">
        <v>244</v>
      </c>
      <c r="C880" s="18">
        <v>45658</v>
      </c>
      <c r="D880" t="str">
        <f>"8576"</f>
        <v>8576</v>
      </c>
      <c r="E880" s="18">
        <v>45625</v>
      </c>
      <c r="G880" t="s">
        <v>247</v>
      </c>
      <c r="H880" t="s">
        <v>1618</v>
      </c>
      <c r="L880" s="35">
        <v>10800</v>
      </c>
    </row>
    <row r="881" spans="1:12" hidden="1" x14ac:dyDescent="0.25">
      <c r="A881">
        <v>0</v>
      </c>
      <c r="B881" t="s">
        <v>244</v>
      </c>
      <c r="C881" s="18">
        <v>45658</v>
      </c>
      <c r="D881" t="str">
        <f>"8577"</f>
        <v>8577</v>
      </c>
      <c r="E881" s="18">
        <v>45625</v>
      </c>
      <c r="G881" t="s">
        <v>247</v>
      </c>
      <c r="H881" t="s">
        <v>1619</v>
      </c>
      <c r="L881" s="35">
        <v>80307.55</v>
      </c>
    </row>
    <row r="882" spans="1:12" hidden="1" x14ac:dyDescent="0.25">
      <c r="A882">
        <v>0</v>
      </c>
      <c r="B882" t="s">
        <v>244</v>
      </c>
      <c r="C882" s="18">
        <v>45658</v>
      </c>
      <c r="D882" t="str">
        <f>"8578"</f>
        <v>8578</v>
      </c>
      <c r="E882" s="18">
        <v>45597</v>
      </c>
      <c r="F882" t="str">
        <f>"20875"</f>
        <v>20875</v>
      </c>
      <c r="G882" t="s">
        <v>247</v>
      </c>
      <c r="H882" t="s">
        <v>1620</v>
      </c>
      <c r="L882" s="35">
        <v>400</v>
      </c>
    </row>
    <row r="883" spans="1:12" hidden="1" x14ac:dyDescent="0.25">
      <c r="A883">
        <v>0</v>
      </c>
      <c r="B883" t="s">
        <v>244</v>
      </c>
      <c r="C883" s="18">
        <v>45658</v>
      </c>
      <c r="D883" t="str">
        <f>"8579"</f>
        <v>8579</v>
      </c>
      <c r="E883" s="18">
        <v>45628</v>
      </c>
      <c r="F883" t="s">
        <v>1621</v>
      </c>
      <c r="G883" t="s">
        <v>247</v>
      </c>
      <c r="H883" t="s">
        <v>1622</v>
      </c>
      <c r="L883" s="35">
        <v>232000</v>
      </c>
    </row>
    <row r="884" spans="1:12" hidden="1" x14ac:dyDescent="0.25">
      <c r="A884">
        <v>0</v>
      </c>
      <c r="B884" t="s">
        <v>244</v>
      </c>
      <c r="C884" s="18">
        <v>45658</v>
      </c>
      <c r="D884" t="str">
        <f>"8580"</f>
        <v>8580</v>
      </c>
      <c r="E884" s="18">
        <v>45628</v>
      </c>
      <c r="F884" t="s">
        <v>1623</v>
      </c>
      <c r="G884" t="s">
        <v>247</v>
      </c>
      <c r="H884" t="s">
        <v>1624</v>
      </c>
      <c r="L884" s="35">
        <v>49680</v>
      </c>
    </row>
    <row r="885" spans="1:12" hidden="1" x14ac:dyDescent="0.25">
      <c r="A885">
        <v>0</v>
      </c>
      <c r="B885" t="s">
        <v>244</v>
      </c>
      <c r="C885" s="18">
        <v>45658</v>
      </c>
      <c r="D885" t="str">
        <f>"8581"</f>
        <v>8581</v>
      </c>
      <c r="E885" s="18">
        <v>45628</v>
      </c>
      <c r="F885" t="str">
        <f>"000305"</f>
        <v>000305</v>
      </c>
      <c r="G885" t="s">
        <v>247</v>
      </c>
      <c r="H885" t="s">
        <v>1625</v>
      </c>
      <c r="L885" s="35">
        <v>220000</v>
      </c>
    </row>
    <row r="886" spans="1:12" hidden="1" x14ac:dyDescent="0.25">
      <c r="A886">
        <v>0</v>
      </c>
      <c r="B886" t="s">
        <v>244</v>
      </c>
      <c r="C886" s="18">
        <v>45658</v>
      </c>
      <c r="D886" t="str">
        <f>"8582"</f>
        <v>8582</v>
      </c>
      <c r="E886" s="18">
        <v>45628</v>
      </c>
      <c r="F886" t="str">
        <f>"202410121"</f>
        <v>202410121</v>
      </c>
      <c r="G886" t="s">
        <v>247</v>
      </c>
      <c r="H886" t="s">
        <v>1626</v>
      </c>
      <c r="L886" s="35">
        <v>160000</v>
      </c>
    </row>
    <row r="887" spans="1:12" hidden="1" x14ac:dyDescent="0.25">
      <c r="A887">
        <v>0</v>
      </c>
      <c r="B887" t="s">
        <v>244</v>
      </c>
      <c r="C887" s="18">
        <v>45658</v>
      </c>
      <c r="D887" t="str">
        <f>"8583"</f>
        <v>8583</v>
      </c>
      <c r="E887" s="18">
        <v>45628</v>
      </c>
      <c r="F887" t="s">
        <v>1627</v>
      </c>
      <c r="G887" t="s">
        <v>247</v>
      </c>
      <c r="H887" t="s">
        <v>1628</v>
      </c>
      <c r="L887" s="35">
        <v>117040</v>
      </c>
    </row>
    <row r="888" spans="1:12" hidden="1" x14ac:dyDescent="0.25">
      <c r="A888">
        <v>0</v>
      </c>
      <c r="B888" t="s">
        <v>244</v>
      </c>
      <c r="C888" s="18">
        <v>45658</v>
      </c>
      <c r="D888" t="str">
        <f>"8584"</f>
        <v>8584</v>
      </c>
      <c r="E888" s="18">
        <v>45628</v>
      </c>
      <c r="F888" t="s">
        <v>1629</v>
      </c>
      <c r="G888" t="s">
        <v>247</v>
      </c>
      <c r="H888" t="s">
        <v>1630</v>
      </c>
      <c r="L888" s="35">
        <v>10880</v>
      </c>
    </row>
    <row r="889" spans="1:12" hidden="1" x14ac:dyDescent="0.25">
      <c r="A889">
        <v>0</v>
      </c>
      <c r="B889" t="s">
        <v>244</v>
      </c>
      <c r="C889" s="18">
        <v>45658</v>
      </c>
      <c r="D889" t="str">
        <f>"8585"</f>
        <v>8585</v>
      </c>
      <c r="E889" s="18">
        <v>45628</v>
      </c>
      <c r="F889" t="s">
        <v>1631</v>
      </c>
      <c r="G889" t="s">
        <v>247</v>
      </c>
      <c r="H889" t="s">
        <v>1632</v>
      </c>
      <c r="L889" s="35">
        <v>112880</v>
      </c>
    </row>
    <row r="890" spans="1:12" hidden="1" x14ac:dyDescent="0.25">
      <c r="A890">
        <v>0</v>
      </c>
      <c r="B890" t="s">
        <v>244</v>
      </c>
      <c r="C890" s="18">
        <v>45658</v>
      </c>
      <c r="D890" t="str">
        <f>"8586"</f>
        <v>8586</v>
      </c>
      <c r="E890" s="18">
        <v>45629</v>
      </c>
      <c r="F890" t="str">
        <f>"21250"</f>
        <v>21250</v>
      </c>
      <c r="G890" t="s">
        <v>247</v>
      </c>
      <c r="H890" t="s">
        <v>1633</v>
      </c>
      <c r="L890" s="35">
        <v>154080</v>
      </c>
    </row>
    <row r="891" spans="1:12" hidden="1" x14ac:dyDescent="0.25">
      <c r="A891">
        <v>0</v>
      </c>
      <c r="B891" t="s">
        <v>244</v>
      </c>
      <c r="C891" s="18">
        <v>45658</v>
      </c>
      <c r="D891" t="str">
        <f>"8587"</f>
        <v>8587</v>
      </c>
      <c r="E891" s="18">
        <v>45629</v>
      </c>
      <c r="F891" t="s">
        <v>295</v>
      </c>
      <c r="G891" t="s">
        <v>247</v>
      </c>
      <c r="H891" t="s">
        <v>296</v>
      </c>
      <c r="L891" s="35">
        <v>100800</v>
      </c>
    </row>
    <row r="892" spans="1:12" hidden="1" x14ac:dyDescent="0.25">
      <c r="A892">
        <v>0</v>
      </c>
      <c r="B892" t="s">
        <v>244</v>
      </c>
      <c r="C892" s="18">
        <v>45658</v>
      </c>
      <c r="D892" t="str">
        <f>"8588"</f>
        <v>8588</v>
      </c>
      <c r="E892" s="18">
        <v>45630</v>
      </c>
      <c r="F892" t="str">
        <f>"21257"</f>
        <v>21257</v>
      </c>
      <c r="G892" t="s">
        <v>247</v>
      </c>
      <c r="H892" t="s">
        <v>1634</v>
      </c>
      <c r="L892" s="35">
        <v>80000</v>
      </c>
    </row>
    <row r="893" spans="1:12" hidden="1" x14ac:dyDescent="0.25">
      <c r="A893">
        <v>0</v>
      </c>
      <c r="B893" t="s">
        <v>244</v>
      </c>
      <c r="C893" s="18">
        <v>45658</v>
      </c>
      <c r="D893" t="str">
        <f>"8589"</f>
        <v>8589</v>
      </c>
      <c r="E893" s="18">
        <v>45630</v>
      </c>
      <c r="G893" t="s">
        <v>247</v>
      </c>
      <c r="H893" t="s">
        <v>1635</v>
      </c>
      <c r="L893" s="35">
        <v>9600</v>
      </c>
    </row>
    <row r="894" spans="1:12" hidden="1" x14ac:dyDescent="0.25">
      <c r="A894">
        <v>0</v>
      </c>
      <c r="B894" t="s">
        <v>244</v>
      </c>
      <c r="C894" s="18">
        <v>45658</v>
      </c>
      <c r="D894" t="str">
        <f>"8590"</f>
        <v>8590</v>
      </c>
      <c r="E894" s="18">
        <v>45630</v>
      </c>
      <c r="G894" t="s">
        <v>247</v>
      </c>
      <c r="H894" t="s">
        <v>1636</v>
      </c>
      <c r="L894" s="35">
        <v>9600</v>
      </c>
    </row>
    <row r="895" spans="1:12" hidden="1" x14ac:dyDescent="0.25">
      <c r="A895">
        <v>0</v>
      </c>
      <c r="B895" t="s">
        <v>244</v>
      </c>
      <c r="C895" s="18">
        <v>45658</v>
      </c>
      <c r="D895" t="str">
        <f>"8591"</f>
        <v>8591</v>
      </c>
      <c r="E895" s="18">
        <v>45630</v>
      </c>
      <c r="G895" t="s">
        <v>247</v>
      </c>
      <c r="H895" t="s">
        <v>1637</v>
      </c>
      <c r="L895" s="35">
        <v>9600</v>
      </c>
    </row>
    <row r="896" spans="1:12" hidden="1" x14ac:dyDescent="0.25">
      <c r="A896">
        <v>0</v>
      </c>
      <c r="B896" t="s">
        <v>244</v>
      </c>
      <c r="C896" s="18">
        <v>45658</v>
      </c>
      <c r="D896" t="str">
        <f>"8592"</f>
        <v>8592</v>
      </c>
      <c r="E896" s="18">
        <v>45631</v>
      </c>
      <c r="F896" t="str">
        <f>"21172"</f>
        <v>21172</v>
      </c>
      <c r="G896" t="s">
        <v>247</v>
      </c>
      <c r="H896" t="s">
        <v>1638</v>
      </c>
      <c r="L896" s="35">
        <v>1000000</v>
      </c>
    </row>
    <row r="897" spans="1:12" hidden="1" x14ac:dyDescent="0.25">
      <c r="A897">
        <v>0</v>
      </c>
      <c r="B897" t="s">
        <v>244</v>
      </c>
      <c r="C897" s="18">
        <v>45658</v>
      </c>
      <c r="D897" t="str">
        <f>"8593"</f>
        <v>8593</v>
      </c>
      <c r="E897" s="18">
        <v>45631</v>
      </c>
      <c r="F897" t="str">
        <f>"21271"</f>
        <v>21271</v>
      </c>
      <c r="G897" t="s">
        <v>247</v>
      </c>
      <c r="H897" t="s">
        <v>1639</v>
      </c>
      <c r="L897" s="35">
        <v>65040</v>
      </c>
    </row>
    <row r="898" spans="1:12" hidden="1" x14ac:dyDescent="0.25">
      <c r="A898">
        <v>0</v>
      </c>
      <c r="B898" t="s">
        <v>244</v>
      </c>
      <c r="C898" s="18">
        <v>45658</v>
      </c>
      <c r="D898" t="str">
        <f>"8594"</f>
        <v>8594</v>
      </c>
      <c r="E898" s="18">
        <v>45631</v>
      </c>
      <c r="F898" t="str">
        <f>"21272"</f>
        <v>21272</v>
      </c>
      <c r="G898" t="s">
        <v>247</v>
      </c>
      <c r="H898" t="s">
        <v>1640</v>
      </c>
      <c r="L898" s="35">
        <v>280000</v>
      </c>
    </row>
    <row r="899" spans="1:12" hidden="1" x14ac:dyDescent="0.25">
      <c r="A899">
        <v>0</v>
      </c>
      <c r="B899" t="s">
        <v>244</v>
      </c>
      <c r="C899" s="18">
        <v>45658</v>
      </c>
      <c r="D899" t="str">
        <f>"8595"</f>
        <v>8595</v>
      </c>
      <c r="E899" s="18">
        <v>45631</v>
      </c>
      <c r="F899" t="str">
        <f>"252045"</f>
        <v>252045</v>
      </c>
      <c r="G899" t="s">
        <v>247</v>
      </c>
      <c r="H899" t="s">
        <v>1641</v>
      </c>
      <c r="L899" s="35">
        <v>26080</v>
      </c>
    </row>
    <row r="900" spans="1:12" hidden="1" x14ac:dyDescent="0.25">
      <c r="A900">
        <v>0</v>
      </c>
      <c r="B900" t="s">
        <v>244</v>
      </c>
      <c r="C900" s="18">
        <v>45658</v>
      </c>
      <c r="D900" t="str">
        <f>"8596"</f>
        <v>8596</v>
      </c>
      <c r="E900" s="18">
        <v>45631</v>
      </c>
      <c r="F900" t="s">
        <v>1642</v>
      </c>
      <c r="G900" t="s">
        <v>247</v>
      </c>
      <c r="H900" t="s">
        <v>1643</v>
      </c>
      <c r="L900" s="35">
        <v>120000</v>
      </c>
    </row>
    <row r="901" spans="1:12" hidden="1" x14ac:dyDescent="0.25">
      <c r="A901">
        <v>0</v>
      </c>
      <c r="B901" t="s">
        <v>244</v>
      </c>
      <c r="C901" s="18">
        <v>45658</v>
      </c>
      <c r="D901" t="str">
        <f>"8597"</f>
        <v>8597</v>
      </c>
      <c r="E901" s="18">
        <v>45633</v>
      </c>
      <c r="F901" t="str">
        <f>"18052024"</f>
        <v>18052024</v>
      </c>
      <c r="G901" t="s">
        <v>247</v>
      </c>
      <c r="H901" t="s">
        <v>1644</v>
      </c>
      <c r="L901" s="35">
        <v>56000</v>
      </c>
    </row>
    <row r="902" spans="1:12" hidden="1" x14ac:dyDescent="0.25">
      <c r="A902">
        <v>0</v>
      </c>
      <c r="B902" t="s">
        <v>244</v>
      </c>
      <c r="C902" s="18">
        <v>45658</v>
      </c>
      <c r="D902" t="str">
        <f>"8598"</f>
        <v>8598</v>
      </c>
      <c r="E902" s="18">
        <v>45637</v>
      </c>
      <c r="F902" t="s">
        <v>1645</v>
      </c>
      <c r="G902" t="s">
        <v>247</v>
      </c>
      <c r="H902" t="s">
        <v>1646</v>
      </c>
      <c r="L902" s="35">
        <v>96000</v>
      </c>
    </row>
    <row r="903" spans="1:12" hidden="1" x14ac:dyDescent="0.25">
      <c r="A903">
        <v>0</v>
      </c>
      <c r="B903" t="s">
        <v>244</v>
      </c>
      <c r="C903" s="18">
        <v>45658</v>
      </c>
      <c r="D903" t="str">
        <f>"8599"</f>
        <v>8599</v>
      </c>
      <c r="E903" s="18">
        <v>45638</v>
      </c>
      <c r="F903" t="s">
        <v>1647</v>
      </c>
      <c r="G903" t="s">
        <v>247</v>
      </c>
      <c r="H903" t="s">
        <v>1648</v>
      </c>
      <c r="L903" s="35">
        <v>883860</v>
      </c>
    </row>
    <row r="904" spans="1:12" hidden="1" x14ac:dyDescent="0.25">
      <c r="A904">
        <v>0</v>
      </c>
      <c r="B904" t="s">
        <v>244</v>
      </c>
      <c r="C904" s="18">
        <v>45658</v>
      </c>
      <c r="D904" t="str">
        <f>"8600"</f>
        <v>8600</v>
      </c>
      <c r="E904" s="18">
        <v>45638</v>
      </c>
      <c r="G904" t="s">
        <v>247</v>
      </c>
      <c r="H904" t="s">
        <v>1649</v>
      </c>
      <c r="L904" s="35">
        <v>3000</v>
      </c>
    </row>
    <row r="905" spans="1:12" hidden="1" x14ac:dyDescent="0.25">
      <c r="A905">
        <v>0</v>
      </c>
      <c r="B905" t="s">
        <v>244</v>
      </c>
      <c r="C905" s="18">
        <v>45658</v>
      </c>
      <c r="D905" t="str">
        <f>"8601"</f>
        <v>8601</v>
      </c>
      <c r="E905" s="18">
        <v>45638</v>
      </c>
      <c r="G905" t="s">
        <v>247</v>
      </c>
      <c r="H905" t="s">
        <v>1650</v>
      </c>
      <c r="L905" s="35">
        <v>3000</v>
      </c>
    </row>
    <row r="906" spans="1:12" hidden="1" x14ac:dyDescent="0.25">
      <c r="A906">
        <v>0</v>
      </c>
      <c r="B906" t="s">
        <v>244</v>
      </c>
      <c r="C906" s="18">
        <v>45658</v>
      </c>
      <c r="D906" t="str">
        <f>"8602"</f>
        <v>8602</v>
      </c>
      <c r="E906" s="18">
        <v>45638</v>
      </c>
      <c r="G906" t="s">
        <v>247</v>
      </c>
      <c r="H906" t="s">
        <v>1651</v>
      </c>
      <c r="L906" s="35">
        <v>3000</v>
      </c>
    </row>
    <row r="907" spans="1:12" hidden="1" x14ac:dyDescent="0.25">
      <c r="A907">
        <v>0</v>
      </c>
      <c r="B907" t="s">
        <v>244</v>
      </c>
      <c r="C907" s="18">
        <v>45658</v>
      </c>
      <c r="D907" t="str">
        <f>"8603"</f>
        <v>8603</v>
      </c>
      <c r="E907" s="18">
        <v>45638</v>
      </c>
      <c r="G907" t="s">
        <v>247</v>
      </c>
      <c r="H907" t="s">
        <v>1652</v>
      </c>
      <c r="L907" s="35">
        <v>3000</v>
      </c>
    </row>
    <row r="908" spans="1:12" hidden="1" x14ac:dyDescent="0.25">
      <c r="A908">
        <v>0</v>
      </c>
      <c r="B908" t="s">
        <v>244</v>
      </c>
      <c r="C908" s="18">
        <v>45658</v>
      </c>
      <c r="D908" t="str">
        <f>"8604"</f>
        <v>8604</v>
      </c>
      <c r="E908" s="18">
        <v>45638</v>
      </c>
      <c r="G908" t="s">
        <v>247</v>
      </c>
      <c r="H908" t="s">
        <v>1653</v>
      </c>
      <c r="L908" s="35">
        <v>9600</v>
      </c>
    </row>
    <row r="909" spans="1:12" hidden="1" x14ac:dyDescent="0.25">
      <c r="A909">
        <v>0</v>
      </c>
      <c r="B909" t="s">
        <v>244</v>
      </c>
      <c r="C909" s="18">
        <v>45658</v>
      </c>
      <c r="D909" t="str">
        <f>"8605"</f>
        <v>8605</v>
      </c>
      <c r="E909" s="18">
        <v>45638</v>
      </c>
      <c r="G909" t="s">
        <v>247</v>
      </c>
      <c r="H909" t="s">
        <v>1654</v>
      </c>
      <c r="L909" s="35">
        <v>9600</v>
      </c>
    </row>
    <row r="910" spans="1:12" hidden="1" x14ac:dyDescent="0.25">
      <c r="A910">
        <v>0</v>
      </c>
      <c r="B910" t="s">
        <v>244</v>
      </c>
      <c r="C910" s="18">
        <v>45658</v>
      </c>
      <c r="D910" t="str">
        <f>"8606"</f>
        <v>8606</v>
      </c>
      <c r="E910" s="18">
        <v>45639</v>
      </c>
      <c r="F910" t="str">
        <f>"21362"</f>
        <v>21362</v>
      </c>
      <c r="G910" t="s">
        <v>247</v>
      </c>
      <c r="H910" t="s">
        <v>1655</v>
      </c>
      <c r="L910" s="35">
        <v>28000</v>
      </c>
    </row>
    <row r="911" spans="1:12" hidden="1" x14ac:dyDescent="0.25">
      <c r="A911">
        <v>0</v>
      </c>
      <c r="B911" t="s">
        <v>244</v>
      </c>
      <c r="C911" s="18">
        <v>45658</v>
      </c>
      <c r="D911" t="str">
        <f>"8607"</f>
        <v>8607</v>
      </c>
      <c r="E911" s="18">
        <v>45639</v>
      </c>
      <c r="F911" t="str">
        <f>"21375"</f>
        <v>21375</v>
      </c>
      <c r="G911" t="s">
        <v>247</v>
      </c>
      <c r="H911" t="s">
        <v>1656</v>
      </c>
      <c r="L911" s="35">
        <v>862000</v>
      </c>
    </row>
    <row r="912" spans="1:12" hidden="1" x14ac:dyDescent="0.25">
      <c r="A912">
        <v>0</v>
      </c>
      <c r="B912" t="s">
        <v>244</v>
      </c>
      <c r="C912" s="18">
        <v>45658</v>
      </c>
      <c r="D912" t="str">
        <f>"8608"</f>
        <v>8608</v>
      </c>
      <c r="E912" s="18">
        <v>45639</v>
      </c>
      <c r="F912" t="s">
        <v>1657</v>
      </c>
      <c r="G912" t="s">
        <v>247</v>
      </c>
      <c r="H912" t="s">
        <v>1643</v>
      </c>
      <c r="L912" s="35">
        <v>304000</v>
      </c>
    </row>
    <row r="913" spans="1:12" hidden="1" x14ac:dyDescent="0.25">
      <c r="A913">
        <v>0</v>
      </c>
      <c r="B913" t="s">
        <v>244</v>
      </c>
      <c r="C913" s="18">
        <v>45658</v>
      </c>
      <c r="D913" t="str">
        <f>"8609"</f>
        <v>8609</v>
      </c>
      <c r="E913" s="18">
        <v>45649</v>
      </c>
      <c r="G913" t="s">
        <v>247</v>
      </c>
      <c r="H913" t="s">
        <v>1658</v>
      </c>
      <c r="L913" s="35">
        <v>3000</v>
      </c>
    </row>
    <row r="914" spans="1:12" hidden="1" x14ac:dyDescent="0.25">
      <c r="A914">
        <v>0</v>
      </c>
      <c r="B914" t="s">
        <v>244</v>
      </c>
      <c r="C914" s="18">
        <v>45658</v>
      </c>
      <c r="D914" t="str">
        <f>"8610"</f>
        <v>8610</v>
      </c>
      <c r="E914" s="18">
        <v>45649</v>
      </c>
      <c r="G914" t="s">
        <v>247</v>
      </c>
      <c r="H914" t="s">
        <v>1659</v>
      </c>
      <c r="L914" s="35">
        <v>9600</v>
      </c>
    </row>
    <row r="915" spans="1:12" hidden="1" x14ac:dyDescent="0.25">
      <c r="A915">
        <v>0</v>
      </c>
      <c r="B915" t="s">
        <v>244</v>
      </c>
      <c r="C915" s="18">
        <v>45658</v>
      </c>
      <c r="D915" t="str">
        <f>"8611"</f>
        <v>8611</v>
      </c>
      <c r="E915" s="18">
        <v>45649</v>
      </c>
      <c r="G915" t="s">
        <v>247</v>
      </c>
      <c r="H915" t="s">
        <v>1660</v>
      </c>
      <c r="L915" s="35">
        <v>9600</v>
      </c>
    </row>
    <row r="916" spans="1:12" hidden="1" x14ac:dyDescent="0.25">
      <c r="A916">
        <v>0</v>
      </c>
      <c r="B916" t="s">
        <v>244</v>
      </c>
      <c r="C916" s="18">
        <v>45658</v>
      </c>
      <c r="D916" t="str">
        <f>"8612"</f>
        <v>8612</v>
      </c>
      <c r="E916" s="18">
        <v>45657</v>
      </c>
      <c r="G916" t="s">
        <v>247</v>
      </c>
      <c r="H916" t="s">
        <v>1661</v>
      </c>
      <c r="L916" s="35">
        <v>10800</v>
      </c>
    </row>
    <row r="917" spans="1:12" hidden="1" x14ac:dyDescent="0.25">
      <c r="A917">
        <v>0</v>
      </c>
      <c r="B917" t="s">
        <v>244</v>
      </c>
      <c r="C917" s="18">
        <v>45658</v>
      </c>
      <c r="D917" t="str">
        <f>"8613"</f>
        <v>8613</v>
      </c>
      <c r="E917" s="18">
        <v>45657</v>
      </c>
      <c r="G917" t="s">
        <v>247</v>
      </c>
      <c r="H917" t="s">
        <v>1662</v>
      </c>
      <c r="L917" s="35">
        <v>13762.18</v>
      </c>
    </row>
    <row r="918" spans="1:12" hidden="1" x14ac:dyDescent="0.25">
      <c r="A918">
        <v>0</v>
      </c>
      <c r="B918" t="s">
        <v>250</v>
      </c>
      <c r="C918" s="18">
        <v>45869</v>
      </c>
      <c r="D918" t="str">
        <f>"8771"</f>
        <v>8771</v>
      </c>
      <c r="E918" s="18">
        <v>45869</v>
      </c>
      <c r="F918" t="s">
        <v>1663</v>
      </c>
      <c r="G918" t="s">
        <v>247</v>
      </c>
      <c r="H918" t="s">
        <v>1664</v>
      </c>
      <c r="L918" s="35">
        <v>148800</v>
      </c>
    </row>
    <row r="919" spans="1:12" hidden="1" x14ac:dyDescent="0.25">
      <c r="A919">
        <v>0</v>
      </c>
      <c r="B919" t="s">
        <v>250</v>
      </c>
      <c r="C919" s="18">
        <v>45869</v>
      </c>
      <c r="D919" t="str">
        <f>"8771"</f>
        <v>8771</v>
      </c>
      <c r="E919" s="18">
        <v>45869</v>
      </c>
      <c r="F919" t="str">
        <f>"2719"</f>
        <v>2719</v>
      </c>
      <c r="G919" t="s">
        <v>247</v>
      </c>
      <c r="H919" t="s">
        <v>1665</v>
      </c>
      <c r="L919" s="35">
        <v>480000</v>
      </c>
    </row>
    <row r="920" spans="1:12" hidden="1" x14ac:dyDescent="0.25">
      <c r="A920">
        <v>0</v>
      </c>
      <c r="B920" t="s">
        <v>250</v>
      </c>
      <c r="C920" s="18">
        <v>45869</v>
      </c>
      <c r="D920" t="str">
        <f>"8771"</f>
        <v>8771</v>
      </c>
      <c r="E920" s="18">
        <v>45869</v>
      </c>
      <c r="F920" t="str">
        <f>"03012"</f>
        <v>03012</v>
      </c>
      <c r="G920" t="s">
        <v>247</v>
      </c>
      <c r="H920" t="s">
        <v>1666</v>
      </c>
      <c r="L920" s="35">
        <v>576000</v>
      </c>
    </row>
    <row r="921" spans="1:12" hidden="1" x14ac:dyDescent="0.25">
      <c r="A921">
        <v>0</v>
      </c>
      <c r="B921" t="s">
        <v>250</v>
      </c>
      <c r="C921" s="18">
        <v>45869</v>
      </c>
      <c r="D921" t="str">
        <f>"8771"</f>
        <v>8771</v>
      </c>
      <c r="E921" s="18">
        <v>45869</v>
      </c>
      <c r="F921" t="str">
        <f>"250779"</f>
        <v>250779</v>
      </c>
      <c r="G921" t="s">
        <v>247</v>
      </c>
      <c r="H921" t="s">
        <v>1667</v>
      </c>
      <c r="L921" s="35">
        <v>15360</v>
      </c>
    </row>
    <row r="922" spans="1:12" hidden="1" x14ac:dyDescent="0.25">
      <c r="A922">
        <v>0</v>
      </c>
      <c r="B922" t="s">
        <v>250</v>
      </c>
      <c r="C922" s="18">
        <v>45900</v>
      </c>
      <c r="D922" t="str">
        <f>"8772"</f>
        <v>8772</v>
      </c>
      <c r="E922" s="18">
        <v>45900</v>
      </c>
      <c r="F922" t="s">
        <v>1668</v>
      </c>
      <c r="G922" t="s">
        <v>247</v>
      </c>
      <c r="H922" t="s">
        <v>1669</v>
      </c>
      <c r="L922" s="35">
        <v>33760</v>
      </c>
    </row>
    <row r="923" spans="1:12" hidden="1" x14ac:dyDescent="0.25">
      <c r="A923">
        <v>0</v>
      </c>
      <c r="B923" t="s">
        <v>250</v>
      </c>
      <c r="C923" s="18">
        <v>45869</v>
      </c>
      <c r="D923" t="str">
        <f t="shared" ref="D923:D930" si="9">"8773"</f>
        <v>8773</v>
      </c>
      <c r="E923" s="18">
        <v>45869</v>
      </c>
      <c r="F923" t="s">
        <v>1670</v>
      </c>
      <c r="G923" t="s">
        <v>247</v>
      </c>
      <c r="H923" t="s">
        <v>1671</v>
      </c>
      <c r="L923" s="35">
        <v>72000</v>
      </c>
    </row>
    <row r="924" spans="1:12" hidden="1" x14ac:dyDescent="0.25">
      <c r="A924">
        <v>0</v>
      </c>
      <c r="B924" t="s">
        <v>250</v>
      </c>
      <c r="C924" s="18">
        <v>45869</v>
      </c>
      <c r="D924" t="str">
        <f t="shared" si="9"/>
        <v>8773</v>
      </c>
      <c r="E924" s="18">
        <v>45869</v>
      </c>
      <c r="F924" s="33">
        <v>45782</v>
      </c>
      <c r="G924" t="s">
        <v>247</v>
      </c>
      <c r="H924" t="s">
        <v>1672</v>
      </c>
      <c r="L924" s="35">
        <v>41600</v>
      </c>
    </row>
    <row r="925" spans="1:12" hidden="1" x14ac:dyDescent="0.25">
      <c r="A925">
        <v>0</v>
      </c>
      <c r="B925" t="s">
        <v>250</v>
      </c>
      <c r="C925" s="18">
        <v>45869</v>
      </c>
      <c r="D925" t="str">
        <f t="shared" si="9"/>
        <v>8773</v>
      </c>
      <c r="E925" s="18">
        <v>45869</v>
      </c>
      <c r="F925" t="s">
        <v>1673</v>
      </c>
      <c r="G925" t="s">
        <v>247</v>
      </c>
      <c r="H925" t="s">
        <v>1674</v>
      </c>
      <c r="L925" s="35">
        <v>88000</v>
      </c>
    </row>
    <row r="926" spans="1:12" hidden="1" x14ac:dyDescent="0.25">
      <c r="A926">
        <v>0</v>
      </c>
      <c r="B926" t="s">
        <v>250</v>
      </c>
      <c r="C926" s="18">
        <v>45869</v>
      </c>
      <c r="D926" t="str">
        <f t="shared" si="9"/>
        <v>8773</v>
      </c>
      <c r="E926" s="18">
        <v>45869</v>
      </c>
      <c r="F926" t="s">
        <v>1675</v>
      </c>
      <c r="G926" t="s">
        <v>247</v>
      </c>
      <c r="H926" t="s">
        <v>1676</v>
      </c>
      <c r="L926" s="35">
        <v>260000</v>
      </c>
    </row>
    <row r="927" spans="1:12" hidden="1" x14ac:dyDescent="0.25">
      <c r="A927">
        <v>0</v>
      </c>
      <c r="B927" t="s">
        <v>250</v>
      </c>
      <c r="C927" s="18">
        <v>45869</v>
      </c>
      <c r="D927" t="str">
        <f t="shared" si="9"/>
        <v>8773</v>
      </c>
      <c r="E927" s="18">
        <v>45869</v>
      </c>
      <c r="F927" t="s">
        <v>1677</v>
      </c>
      <c r="G927" t="s">
        <v>247</v>
      </c>
      <c r="H927" t="s">
        <v>1678</v>
      </c>
      <c r="L927" s="35">
        <v>960900</v>
      </c>
    </row>
    <row r="928" spans="1:12" hidden="1" x14ac:dyDescent="0.25">
      <c r="A928">
        <v>0</v>
      </c>
      <c r="B928" t="s">
        <v>250</v>
      </c>
      <c r="C928" s="18">
        <v>45869</v>
      </c>
      <c r="D928" t="str">
        <f t="shared" si="9"/>
        <v>8773</v>
      </c>
      <c r="E928" s="18">
        <v>45869</v>
      </c>
      <c r="F928" t="s">
        <v>1679</v>
      </c>
      <c r="G928" t="s">
        <v>247</v>
      </c>
      <c r="H928" t="s">
        <v>1680</v>
      </c>
      <c r="L928" s="35">
        <v>64000</v>
      </c>
    </row>
    <row r="929" spans="1:12" hidden="1" x14ac:dyDescent="0.25">
      <c r="A929">
        <v>0</v>
      </c>
      <c r="B929" t="s">
        <v>250</v>
      </c>
      <c r="C929" s="18">
        <v>45869</v>
      </c>
      <c r="D929" t="str">
        <f t="shared" si="9"/>
        <v>8773</v>
      </c>
      <c r="E929" s="18">
        <v>45869</v>
      </c>
      <c r="F929" t="s">
        <v>1681</v>
      </c>
      <c r="G929" t="s">
        <v>247</v>
      </c>
      <c r="H929" t="s">
        <v>1682</v>
      </c>
      <c r="L929" s="35">
        <v>256000</v>
      </c>
    </row>
    <row r="930" spans="1:12" hidden="1" x14ac:dyDescent="0.25">
      <c r="A930">
        <v>0</v>
      </c>
      <c r="B930" t="s">
        <v>250</v>
      </c>
      <c r="C930" s="18">
        <v>45869</v>
      </c>
      <c r="D930" t="str">
        <f t="shared" si="9"/>
        <v>8773</v>
      </c>
      <c r="E930" s="18">
        <v>45869</v>
      </c>
      <c r="F930" t="str">
        <f>"18506"</f>
        <v>18506</v>
      </c>
      <c r="G930" t="s">
        <v>247</v>
      </c>
      <c r="H930" t="s">
        <v>1683</v>
      </c>
      <c r="L930" s="35">
        <v>504000</v>
      </c>
    </row>
    <row r="931" spans="1:12" hidden="1" x14ac:dyDescent="0.25">
      <c r="A931">
        <v>0</v>
      </c>
      <c r="B931" t="s">
        <v>250</v>
      </c>
      <c r="C931" s="18">
        <v>45900</v>
      </c>
      <c r="D931" t="str">
        <f>"8924"</f>
        <v>8924</v>
      </c>
      <c r="E931" s="18">
        <v>45900</v>
      </c>
      <c r="F931" t="str">
        <f>"8433"</f>
        <v>8433</v>
      </c>
      <c r="G931" t="s">
        <v>247</v>
      </c>
      <c r="H931" t="s">
        <v>1684</v>
      </c>
      <c r="L931" s="35">
        <v>47440</v>
      </c>
    </row>
    <row r="932" spans="1:12" hidden="1" x14ac:dyDescent="0.25">
      <c r="A932">
        <v>0</v>
      </c>
      <c r="B932" t="s">
        <v>250</v>
      </c>
      <c r="C932" s="18">
        <v>45900</v>
      </c>
      <c r="D932" t="str">
        <f>"8924"</f>
        <v>8924</v>
      </c>
      <c r="E932" s="18">
        <v>45900</v>
      </c>
      <c r="F932" s="18">
        <v>45811</v>
      </c>
      <c r="G932" t="s">
        <v>247</v>
      </c>
      <c r="H932" t="s">
        <v>1685</v>
      </c>
      <c r="L932" s="35">
        <v>175680</v>
      </c>
    </row>
    <row r="933" spans="1:12" hidden="1" x14ac:dyDescent="0.25">
      <c r="A933">
        <v>0</v>
      </c>
      <c r="B933" t="s">
        <v>250</v>
      </c>
      <c r="C933" s="18">
        <v>45900</v>
      </c>
      <c r="D933" t="str">
        <f>"8924"</f>
        <v>8924</v>
      </c>
      <c r="E933" s="18">
        <v>45900</v>
      </c>
      <c r="F933" t="s">
        <v>1686</v>
      </c>
      <c r="G933" t="s">
        <v>247</v>
      </c>
      <c r="H933" t="s">
        <v>1687</v>
      </c>
      <c r="L933" s="35">
        <v>80400</v>
      </c>
    </row>
    <row r="934" spans="1:12" hidden="1" x14ac:dyDescent="0.25">
      <c r="A934">
        <v>0</v>
      </c>
      <c r="B934" t="s">
        <v>250</v>
      </c>
      <c r="C934" s="18">
        <v>45869</v>
      </c>
      <c r="D934" t="str">
        <f>"9140"</f>
        <v>9140</v>
      </c>
      <c r="E934" s="18">
        <v>45869</v>
      </c>
      <c r="F934" t="str">
        <f>"352572"</f>
        <v>352572</v>
      </c>
      <c r="G934" t="s">
        <v>247</v>
      </c>
      <c r="H934" t="s">
        <v>1688</v>
      </c>
      <c r="L934" s="35">
        <v>2265600</v>
      </c>
    </row>
    <row r="935" spans="1:12" hidden="1" x14ac:dyDescent="0.25">
      <c r="A935">
        <v>0</v>
      </c>
      <c r="B935" t="s">
        <v>250</v>
      </c>
      <c r="C935" s="18">
        <v>45869</v>
      </c>
      <c r="D935" t="str">
        <f>"9148"</f>
        <v>9148</v>
      </c>
      <c r="E935" s="18">
        <v>45869</v>
      </c>
      <c r="F935" t="str">
        <f>"202505115"</f>
        <v>202505115</v>
      </c>
      <c r="G935" t="s">
        <v>247</v>
      </c>
      <c r="H935" t="s">
        <v>1689</v>
      </c>
      <c r="L935" s="35">
        <v>112000</v>
      </c>
    </row>
    <row r="936" spans="1:12" hidden="1" x14ac:dyDescent="0.25">
      <c r="A936">
        <v>0</v>
      </c>
      <c r="B936" t="s">
        <v>250</v>
      </c>
      <c r="C936" s="18">
        <v>45900</v>
      </c>
      <c r="D936" t="str">
        <f>"9293"</f>
        <v>9293</v>
      </c>
      <c r="E936" s="18">
        <v>45900</v>
      </c>
      <c r="F936" t="s">
        <v>1690</v>
      </c>
      <c r="G936" t="s">
        <v>247</v>
      </c>
      <c r="H936" t="s">
        <v>1691</v>
      </c>
      <c r="L936" s="35">
        <v>526400</v>
      </c>
    </row>
    <row r="937" spans="1:12" hidden="1" x14ac:dyDescent="0.25">
      <c r="A937">
        <v>0</v>
      </c>
      <c r="B937" t="s">
        <v>250</v>
      </c>
      <c r="C937" s="18">
        <v>45900</v>
      </c>
      <c r="D937" t="str">
        <f>"9390"</f>
        <v>9390</v>
      </c>
      <c r="E937" s="18">
        <v>45900</v>
      </c>
      <c r="F937" t="s">
        <v>635</v>
      </c>
      <c r="G937" t="s">
        <v>247</v>
      </c>
      <c r="H937" t="s">
        <v>1692</v>
      </c>
      <c r="L937" s="35">
        <v>39520</v>
      </c>
    </row>
    <row r="938" spans="1:12" hidden="1" x14ac:dyDescent="0.25">
      <c r="A938">
        <v>0</v>
      </c>
      <c r="B938" t="s">
        <v>250</v>
      </c>
      <c r="C938" s="18">
        <v>45900</v>
      </c>
      <c r="D938" t="str">
        <f>"9390"</f>
        <v>9390</v>
      </c>
      <c r="E938" s="18">
        <v>45900</v>
      </c>
      <c r="F938" t="str">
        <f>"826"</f>
        <v>826</v>
      </c>
      <c r="G938" t="s">
        <v>247</v>
      </c>
      <c r="H938" t="s">
        <v>1693</v>
      </c>
      <c r="L938" s="35">
        <v>482000</v>
      </c>
    </row>
    <row r="939" spans="1:12" x14ac:dyDescent="0.25">
      <c r="A939">
        <v>0</v>
      </c>
      <c r="B939" t="s">
        <v>337</v>
      </c>
      <c r="C939" s="18">
        <v>45898</v>
      </c>
      <c r="D939" t="str">
        <f>"9460"</f>
        <v>9460</v>
      </c>
      <c r="E939" s="18">
        <v>45898</v>
      </c>
      <c r="G939" t="s">
        <v>247</v>
      </c>
      <c r="H939" t="s">
        <v>1694</v>
      </c>
      <c r="L939" s="35">
        <v>13740.19</v>
      </c>
    </row>
    <row r="940" spans="1:12" x14ac:dyDescent="0.25">
      <c r="A940">
        <v>0</v>
      </c>
      <c r="B940" t="s">
        <v>337</v>
      </c>
      <c r="C940" s="18">
        <v>45898</v>
      </c>
      <c r="D940" t="str">
        <f>"9462"</f>
        <v>9462</v>
      </c>
      <c r="E940" s="18">
        <v>45898</v>
      </c>
      <c r="G940" t="s">
        <v>247</v>
      </c>
      <c r="H940" t="s">
        <v>1695</v>
      </c>
      <c r="L940" s="35">
        <v>10800</v>
      </c>
    </row>
    <row r="941" spans="1:12" x14ac:dyDescent="0.25">
      <c r="A941">
        <v>0</v>
      </c>
      <c r="B941" t="s">
        <v>337</v>
      </c>
      <c r="C941" s="18">
        <v>45873</v>
      </c>
      <c r="D941" t="str">
        <f>"9463"</f>
        <v>9463</v>
      </c>
      <c r="E941" s="18">
        <v>45873</v>
      </c>
      <c r="G941" t="s">
        <v>247</v>
      </c>
      <c r="H941" t="s">
        <v>1696</v>
      </c>
      <c r="L941" s="35">
        <v>3000</v>
      </c>
    </row>
    <row r="942" spans="1:12" x14ac:dyDescent="0.25">
      <c r="A942">
        <v>0</v>
      </c>
      <c r="B942" t="s">
        <v>337</v>
      </c>
      <c r="C942" s="18">
        <v>45880</v>
      </c>
      <c r="D942" t="str">
        <f>"9464"</f>
        <v>9464</v>
      </c>
      <c r="E942" s="18">
        <v>45880</v>
      </c>
      <c r="G942" t="s">
        <v>247</v>
      </c>
      <c r="H942" t="s">
        <v>1697</v>
      </c>
      <c r="L942" s="35">
        <v>9600</v>
      </c>
    </row>
    <row r="943" spans="1:12" x14ac:dyDescent="0.25">
      <c r="A943">
        <v>0</v>
      </c>
      <c r="B943" t="s">
        <v>337</v>
      </c>
      <c r="C943" s="18">
        <v>45894</v>
      </c>
      <c r="D943" t="str">
        <f>"9465"</f>
        <v>9465</v>
      </c>
      <c r="E943" s="18">
        <v>45894</v>
      </c>
      <c r="G943" t="s">
        <v>247</v>
      </c>
      <c r="H943" t="s">
        <v>1698</v>
      </c>
      <c r="L943" s="35">
        <v>9600</v>
      </c>
    </row>
    <row r="944" spans="1:12" hidden="1" x14ac:dyDescent="0.25">
      <c r="A944">
        <v>0</v>
      </c>
      <c r="B944" t="s">
        <v>248</v>
      </c>
      <c r="C944" s="18">
        <v>45903</v>
      </c>
      <c r="D944" t="str">
        <f>"9670"</f>
        <v>9670</v>
      </c>
      <c r="F944" t="s">
        <v>1699</v>
      </c>
      <c r="G944" t="s">
        <v>247</v>
      </c>
      <c r="H944" t="s">
        <v>1700</v>
      </c>
      <c r="L944" s="35">
        <v>2249924.4</v>
      </c>
    </row>
    <row r="945" spans="1:12" hidden="1" x14ac:dyDescent="0.25">
      <c r="A945">
        <v>0</v>
      </c>
      <c r="B945" t="s">
        <v>250</v>
      </c>
      <c r="C945" s="18">
        <v>45930</v>
      </c>
      <c r="D945" t="str">
        <f>"9717"</f>
        <v>9717</v>
      </c>
      <c r="E945" s="18">
        <v>45930</v>
      </c>
      <c r="F945" t="s">
        <v>1701</v>
      </c>
      <c r="G945" t="s">
        <v>247</v>
      </c>
      <c r="H945" t="s">
        <v>1702</v>
      </c>
      <c r="L945" s="35">
        <v>154080</v>
      </c>
    </row>
    <row r="946" spans="1:12" hidden="1" x14ac:dyDescent="0.25">
      <c r="A946">
        <v>0</v>
      </c>
      <c r="B946" t="s">
        <v>250</v>
      </c>
      <c r="C946" s="18">
        <v>45930</v>
      </c>
      <c r="D946" t="str">
        <f>"9717"</f>
        <v>9717</v>
      </c>
      <c r="E946" s="18">
        <v>45930</v>
      </c>
      <c r="F946" t="s">
        <v>1703</v>
      </c>
      <c r="G946" t="s">
        <v>247</v>
      </c>
      <c r="H946" t="s">
        <v>1704</v>
      </c>
      <c r="L946" s="35">
        <v>840000</v>
      </c>
    </row>
    <row r="947" spans="1:12" hidden="1" x14ac:dyDescent="0.25">
      <c r="A947">
        <v>0</v>
      </c>
      <c r="B947" t="s">
        <v>250</v>
      </c>
      <c r="C947" s="18">
        <v>45905</v>
      </c>
      <c r="D947" t="str">
        <f>"9882"</f>
        <v>9882</v>
      </c>
      <c r="E947" s="18">
        <v>45905</v>
      </c>
      <c r="F947" t="str">
        <f>"25532"</f>
        <v>25532</v>
      </c>
      <c r="G947" t="s">
        <v>247</v>
      </c>
      <c r="H947" t="s">
        <v>1705</v>
      </c>
      <c r="L947" s="35">
        <v>186816</v>
      </c>
    </row>
    <row r="948" spans="1:12" x14ac:dyDescent="0.25">
      <c r="A948">
        <v>0</v>
      </c>
      <c r="B948" t="s">
        <v>407</v>
      </c>
      <c r="C948" s="18">
        <v>45910</v>
      </c>
      <c r="D948" t="str">
        <f>"9899"</f>
        <v>9899</v>
      </c>
      <c r="E948" s="18">
        <v>45910</v>
      </c>
      <c r="F948" t="str">
        <f>"25532"</f>
        <v>25532</v>
      </c>
      <c r="G948" t="s">
        <v>247</v>
      </c>
      <c r="H948" t="s">
        <v>1706</v>
      </c>
      <c r="L948" s="35">
        <v>1500</v>
      </c>
    </row>
    <row r="949" spans="1:12" x14ac:dyDescent="0.25">
      <c r="A949">
        <v>0</v>
      </c>
      <c r="B949" t="s">
        <v>407</v>
      </c>
      <c r="C949" s="18">
        <v>45900</v>
      </c>
      <c r="D949" t="str">
        <f>"10083"</f>
        <v>10083</v>
      </c>
      <c r="E949" s="18">
        <v>45900</v>
      </c>
      <c r="F949" t="str">
        <f>"25083"</f>
        <v>25083</v>
      </c>
      <c r="G949" t="s">
        <v>247</v>
      </c>
      <c r="H949" t="s">
        <v>1707</v>
      </c>
      <c r="L949" s="35">
        <v>200</v>
      </c>
    </row>
    <row r="950" spans="1:12" hidden="1" x14ac:dyDescent="0.25">
      <c r="A950">
        <v>0</v>
      </c>
      <c r="B950" t="s">
        <v>250</v>
      </c>
      <c r="C950" s="18">
        <v>45930</v>
      </c>
      <c r="D950" t="str">
        <f>"10314"</f>
        <v>10314</v>
      </c>
      <c r="E950" s="18">
        <v>45930</v>
      </c>
      <c r="F950" t="str">
        <f>"372193"</f>
        <v>372193</v>
      </c>
      <c r="G950" t="s">
        <v>247</v>
      </c>
      <c r="H950" t="s">
        <v>1708</v>
      </c>
      <c r="L950" s="35">
        <v>23760</v>
      </c>
    </row>
    <row r="951" spans="1:12" hidden="1" x14ac:dyDescent="0.25">
      <c r="A951">
        <v>0</v>
      </c>
      <c r="B951" t="s">
        <v>250</v>
      </c>
      <c r="C951" s="18">
        <v>45930</v>
      </c>
      <c r="D951" t="str">
        <f>"10394"</f>
        <v>10394</v>
      </c>
      <c r="E951" s="18">
        <v>45930</v>
      </c>
      <c r="F951" t="str">
        <f>"25085"</f>
        <v>25085</v>
      </c>
      <c r="G951" t="s">
        <v>247</v>
      </c>
      <c r="H951" t="s">
        <v>1709</v>
      </c>
      <c r="L951" s="35">
        <v>632000</v>
      </c>
    </row>
    <row r="952" spans="1:12" hidden="1" x14ac:dyDescent="0.25">
      <c r="A952">
        <v>0</v>
      </c>
      <c r="B952" t="s">
        <v>250</v>
      </c>
      <c r="C952" s="18">
        <v>45930</v>
      </c>
      <c r="D952" t="str">
        <f>"10593"</f>
        <v>10593</v>
      </c>
      <c r="E952" s="18">
        <v>45930</v>
      </c>
      <c r="F952" t="s">
        <v>1710</v>
      </c>
      <c r="G952" t="s">
        <v>247</v>
      </c>
      <c r="H952" t="s">
        <v>1711</v>
      </c>
      <c r="L952" s="35">
        <v>380280</v>
      </c>
    </row>
    <row r="953" spans="1:12" hidden="1" x14ac:dyDescent="0.25">
      <c r="A953">
        <v>0</v>
      </c>
      <c r="B953" t="s">
        <v>250</v>
      </c>
      <c r="C953" s="18">
        <v>45930</v>
      </c>
      <c r="D953" t="str">
        <f>"10593"</f>
        <v>10593</v>
      </c>
      <c r="E953" s="18">
        <v>45930</v>
      </c>
      <c r="F953" s="18">
        <v>45810</v>
      </c>
      <c r="G953" t="s">
        <v>247</v>
      </c>
      <c r="H953" t="s">
        <v>1712</v>
      </c>
      <c r="L953" s="35">
        <v>16000</v>
      </c>
    </row>
    <row r="954" spans="1:12" x14ac:dyDescent="0.25">
      <c r="A954">
        <v>0</v>
      </c>
      <c r="B954" t="s">
        <v>337</v>
      </c>
      <c r="C954" s="18">
        <v>45930</v>
      </c>
      <c r="D954" t="str">
        <f>"10648"</f>
        <v>10648</v>
      </c>
      <c r="E954" s="18">
        <v>45930</v>
      </c>
      <c r="G954" t="s">
        <v>247</v>
      </c>
      <c r="H954" t="s">
        <v>1713</v>
      </c>
      <c r="L954" s="35">
        <v>21.89</v>
      </c>
    </row>
    <row r="955" spans="1:12" x14ac:dyDescent="0.25">
      <c r="A955">
        <v>0</v>
      </c>
      <c r="B955" t="s">
        <v>337</v>
      </c>
      <c r="C955" s="18">
        <v>45930</v>
      </c>
      <c r="D955" t="str">
        <f>"10649"</f>
        <v>10649</v>
      </c>
      <c r="E955" s="18">
        <v>45930</v>
      </c>
      <c r="G955" t="s">
        <v>247</v>
      </c>
      <c r="H955" t="s">
        <v>1714</v>
      </c>
      <c r="L955" s="35">
        <v>19356.830000000002</v>
      </c>
    </row>
    <row r="956" spans="1:12" x14ac:dyDescent="0.25">
      <c r="A956">
        <v>0</v>
      </c>
      <c r="B956" t="s">
        <v>337</v>
      </c>
      <c r="C956" s="18">
        <v>45930</v>
      </c>
      <c r="D956" t="str">
        <f>"10650"</f>
        <v>10650</v>
      </c>
      <c r="E956" s="18">
        <v>45930</v>
      </c>
      <c r="G956" t="s">
        <v>247</v>
      </c>
      <c r="H956" t="s">
        <v>1715</v>
      </c>
      <c r="L956" s="35">
        <v>10800</v>
      </c>
    </row>
    <row r="957" spans="1:12" x14ac:dyDescent="0.25">
      <c r="A957">
        <v>0</v>
      </c>
      <c r="B957" t="s">
        <v>337</v>
      </c>
      <c r="C957" s="18">
        <v>45930</v>
      </c>
      <c r="D957" t="str">
        <f>"10651"</f>
        <v>10651</v>
      </c>
      <c r="E957" s="18">
        <v>45930</v>
      </c>
      <c r="G957" t="s">
        <v>247</v>
      </c>
      <c r="H957" t="s">
        <v>1716</v>
      </c>
      <c r="L957" s="35">
        <v>611.52</v>
      </c>
    </row>
    <row r="958" spans="1:12" x14ac:dyDescent="0.25">
      <c r="A958">
        <v>0</v>
      </c>
      <c r="B958" t="s">
        <v>337</v>
      </c>
      <c r="C958" s="18">
        <v>45905</v>
      </c>
      <c r="D958" t="str">
        <f>"10652"</f>
        <v>10652</v>
      </c>
      <c r="E958" s="18">
        <v>45905</v>
      </c>
      <c r="G958" t="s">
        <v>247</v>
      </c>
      <c r="H958" t="s">
        <v>1717</v>
      </c>
      <c r="L958" s="35">
        <v>3000</v>
      </c>
    </row>
    <row r="959" spans="1:12" x14ac:dyDescent="0.25">
      <c r="A959">
        <v>0</v>
      </c>
      <c r="B959" t="s">
        <v>337</v>
      </c>
      <c r="C959" s="18">
        <v>45905</v>
      </c>
      <c r="D959" t="str">
        <f>"10653"</f>
        <v>10653</v>
      </c>
      <c r="E959" s="18">
        <v>45905</v>
      </c>
      <c r="G959" t="s">
        <v>247</v>
      </c>
      <c r="H959" t="s">
        <v>1718</v>
      </c>
      <c r="L959" s="35">
        <v>3000</v>
      </c>
    </row>
    <row r="960" spans="1:12" x14ac:dyDescent="0.25">
      <c r="A960">
        <v>0</v>
      </c>
      <c r="B960" t="s">
        <v>337</v>
      </c>
      <c r="C960" s="18">
        <v>45908</v>
      </c>
      <c r="D960" t="str">
        <f>"10654"</f>
        <v>10654</v>
      </c>
      <c r="E960" s="18">
        <v>45908</v>
      </c>
      <c r="G960" t="s">
        <v>247</v>
      </c>
      <c r="H960" t="s">
        <v>1719</v>
      </c>
      <c r="L960" s="35">
        <v>3000</v>
      </c>
    </row>
    <row r="961" spans="1:13" x14ac:dyDescent="0.25">
      <c r="A961">
        <v>0</v>
      </c>
      <c r="B961" t="s">
        <v>337</v>
      </c>
      <c r="C961" s="18">
        <v>45902</v>
      </c>
      <c r="D961" t="str">
        <f>"10655"</f>
        <v>10655</v>
      </c>
      <c r="E961" s="18">
        <v>45902</v>
      </c>
      <c r="G961" t="s">
        <v>247</v>
      </c>
      <c r="H961" t="s">
        <v>1720</v>
      </c>
      <c r="L961" s="35">
        <v>9600</v>
      </c>
    </row>
    <row r="962" spans="1:13" hidden="1" x14ac:dyDescent="0.25">
      <c r="A962">
        <v>0</v>
      </c>
      <c r="B962" t="s">
        <v>250</v>
      </c>
      <c r="C962" s="18">
        <v>45930</v>
      </c>
      <c r="D962" t="str">
        <f>"10753"</f>
        <v>10753</v>
      </c>
      <c r="E962" s="18">
        <v>45930</v>
      </c>
      <c r="F962" s="18">
        <v>45826</v>
      </c>
      <c r="G962" t="s">
        <v>247</v>
      </c>
      <c r="H962" t="s">
        <v>1721</v>
      </c>
      <c r="L962" s="35">
        <v>84000</v>
      </c>
    </row>
    <row r="963" spans="1:13" hidden="1" x14ac:dyDescent="0.25">
      <c r="A963">
        <v>0</v>
      </c>
      <c r="B963" t="s">
        <v>250</v>
      </c>
      <c r="C963" s="18">
        <v>45940</v>
      </c>
      <c r="D963" t="str">
        <f>"11024"</f>
        <v>11024</v>
      </c>
      <c r="E963" s="18">
        <v>45940</v>
      </c>
      <c r="F963" t="str">
        <f>"25965"</f>
        <v>25965</v>
      </c>
      <c r="G963" t="s">
        <v>247</v>
      </c>
      <c r="H963" t="s">
        <v>1722</v>
      </c>
      <c r="L963" s="35">
        <v>120000</v>
      </c>
    </row>
    <row r="964" spans="1:13" x14ac:dyDescent="0.25">
      <c r="A964">
        <v>0</v>
      </c>
      <c r="B964" t="s">
        <v>407</v>
      </c>
      <c r="C964" s="18">
        <v>45938</v>
      </c>
      <c r="D964" t="str">
        <f>"11048"</f>
        <v>11048</v>
      </c>
      <c r="E964" s="18">
        <v>45938</v>
      </c>
      <c r="F964" t="str">
        <f>"25965"</f>
        <v>25965</v>
      </c>
      <c r="G964" t="s">
        <v>247</v>
      </c>
      <c r="H964" t="s">
        <v>1723</v>
      </c>
      <c r="L964" s="35">
        <v>1500</v>
      </c>
    </row>
    <row r="965" spans="1:13" hidden="1" x14ac:dyDescent="0.25">
      <c r="A965">
        <v>0</v>
      </c>
      <c r="B965" t="s">
        <v>250</v>
      </c>
      <c r="C965" s="18">
        <v>45932</v>
      </c>
      <c r="D965" t="str">
        <f>"11058"</f>
        <v>11058</v>
      </c>
      <c r="E965" s="18">
        <v>45932</v>
      </c>
      <c r="F965" t="s">
        <v>1724</v>
      </c>
      <c r="G965" t="s">
        <v>247</v>
      </c>
      <c r="H965" t="s">
        <v>1725</v>
      </c>
      <c r="L965" s="35">
        <v>24000</v>
      </c>
    </row>
    <row r="966" spans="1:13" hidden="1" x14ac:dyDescent="0.25">
      <c r="A966">
        <v>0</v>
      </c>
      <c r="B966" t="s">
        <v>250</v>
      </c>
      <c r="C966" s="18">
        <v>45933</v>
      </c>
      <c r="D966" t="str">
        <f>"11141"</f>
        <v>11141</v>
      </c>
      <c r="E966" s="18">
        <v>45933</v>
      </c>
      <c r="F966" t="s">
        <v>1726</v>
      </c>
      <c r="G966" t="s">
        <v>247</v>
      </c>
      <c r="H966" t="s">
        <v>1727</v>
      </c>
      <c r="L966" s="35">
        <v>137840</v>
      </c>
    </row>
    <row r="967" spans="1:13" hidden="1" x14ac:dyDescent="0.25">
      <c r="A967">
        <v>0</v>
      </c>
      <c r="B967" t="s">
        <v>337</v>
      </c>
      <c r="C967" s="18">
        <v>45960</v>
      </c>
      <c r="D967" t="str">
        <f>"11554"</f>
        <v>11554</v>
      </c>
      <c r="E967" t="str">
        <f>"00013114"</f>
        <v>00013114</v>
      </c>
      <c r="G967" t="s">
        <v>247</v>
      </c>
      <c r="H967" t="s">
        <v>1728</v>
      </c>
      <c r="L967" s="35">
        <v>19585471.75</v>
      </c>
    </row>
    <row r="968" spans="1:13" x14ac:dyDescent="0.25">
      <c r="A968">
        <v>0</v>
      </c>
      <c r="B968" t="s">
        <v>337</v>
      </c>
      <c r="C968" s="18">
        <v>45873</v>
      </c>
      <c r="D968" t="str">
        <f>"11601"</f>
        <v>11601</v>
      </c>
      <c r="E968" s="18">
        <v>45873</v>
      </c>
      <c r="G968" t="s">
        <v>247</v>
      </c>
      <c r="H968" t="s">
        <v>615</v>
      </c>
      <c r="L968" s="35">
        <v>9600</v>
      </c>
    </row>
    <row r="969" spans="1:13" x14ac:dyDescent="0.25">
      <c r="A969">
        <v>0</v>
      </c>
      <c r="B969" t="s">
        <v>407</v>
      </c>
      <c r="C969" s="18">
        <v>45678</v>
      </c>
      <c r="D969" t="str">
        <f>"370"</f>
        <v>370</v>
      </c>
      <c r="E969" s="18">
        <v>45657</v>
      </c>
      <c r="F969" t="str">
        <f>"21739"</f>
        <v>21739</v>
      </c>
      <c r="G969" t="s">
        <v>247</v>
      </c>
      <c r="H969" t="s">
        <v>1729</v>
      </c>
      <c r="L969" s="35">
        <v>1500</v>
      </c>
    </row>
    <row r="970" spans="1:13" hidden="1" x14ac:dyDescent="0.25">
      <c r="A970">
        <v>0</v>
      </c>
      <c r="B970" t="s">
        <v>248</v>
      </c>
      <c r="C970" s="18">
        <v>45721</v>
      </c>
      <c r="D970" t="str">
        <f>"3243"</f>
        <v>3243</v>
      </c>
      <c r="E970" s="18">
        <v>45721</v>
      </c>
      <c r="G970" t="s">
        <v>247</v>
      </c>
      <c r="H970" t="s">
        <v>1730</v>
      </c>
      <c r="L970" s="35">
        <v>0.19</v>
      </c>
    </row>
    <row r="971" spans="1:13" hidden="1" x14ac:dyDescent="0.25">
      <c r="A971">
        <v>0</v>
      </c>
      <c r="B971" t="s">
        <v>250</v>
      </c>
      <c r="C971" s="18">
        <v>45765</v>
      </c>
      <c r="D971" t="str">
        <f>"4074"</f>
        <v>4074</v>
      </c>
      <c r="F971" t="s">
        <v>463</v>
      </c>
      <c r="G971" t="s">
        <v>247</v>
      </c>
      <c r="H971" t="s">
        <v>1731</v>
      </c>
      <c r="M971" s="35">
        <v>43304893.75</v>
      </c>
    </row>
    <row r="972" spans="1:13" hidden="1" x14ac:dyDescent="0.25">
      <c r="A972">
        <v>0</v>
      </c>
      <c r="B972" t="s">
        <v>250</v>
      </c>
      <c r="C972" s="18">
        <v>45820</v>
      </c>
      <c r="D972" t="str">
        <f>"6447"</f>
        <v>6447</v>
      </c>
      <c r="F972" t="s">
        <v>1732</v>
      </c>
      <c r="G972" t="s">
        <v>247</v>
      </c>
      <c r="H972" t="s">
        <v>1733</v>
      </c>
      <c r="M972" s="35">
        <v>43304893.75</v>
      </c>
    </row>
    <row r="973" spans="1:13" hidden="1" x14ac:dyDescent="0.25">
      <c r="A973">
        <v>0</v>
      </c>
      <c r="B973" t="s">
        <v>244</v>
      </c>
      <c r="C973" s="18">
        <v>45658</v>
      </c>
      <c r="D973" t="str">
        <f>"7976"</f>
        <v>7976</v>
      </c>
      <c r="E973" s="18">
        <v>45631</v>
      </c>
      <c r="F973" t="str">
        <f>"21271"</f>
        <v>21271</v>
      </c>
      <c r="G973" t="s">
        <v>247</v>
      </c>
      <c r="H973" t="s">
        <v>1734</v>
      </c>
      <c r="L973" s="35">
        <v>800</v>
      </c>
    </row>
    <row r="974" spans="1:13" hidden="1" x14ac:dyDescent="0.25">
      <c r="A974">
        <v>0</v>
      </c>
      <c r="B974" t="s">
        <v>244</v>
      </c>
      <c r="C974" s="18">
        <v>45658</v>
      </c>
      <c r="D974" t="str">
        <f>"7977"</f>
        <v>7977</v>
      </c>
      <c r="E974" s="18">
        <v>45631</v>
      </c>
      <c r="F974" t="str">
        <f>"21272"</f>
        <v>21272</v>
      </c>
      <c r="G974" t="s">
        <v>247</v>
      </c>
      <c r="H974" t="s">
        <v>1735</v>
      </c>
      <c r="L974" s="35">
        <v>1500</v>
      </c>
    </row>
    <row r="975" spans="1:13" hidden="1" x14ac:dyDescent="0.25">
      <c r="A975">
        <v>0</v>
      </c>
      <c r="B975" t="s">
        <v>244</v>
      </c>
      <c r="C975" s="18">
        <v>45658</v>
      </c>
      <c r="D975" t="str">
        <f>"7978"</f>
        <v>7978</v>
      </c>
      <c r="E975" s="18">
        <v>45657</v>
      </c>
      <c r="F975" t="str">
        <f>"21362"</f>
        <v>21362</v>
      </c>
      <c r="G975" t="s">
        <v>247</v>
      </c>
      <c r="H975" t="s">
        <v>1736</v>
      </c>
      <c r="L975" s="35">
        <v>400</v>
      </c>
    </row>
    <row r="976" spans="1:13" hidden="1" x14ac:dyDescent="0.25">
      <c r="A976">
        <v>0</v>
      </c>
      <c r="B976" t="s">
        <v>250</v>
      </c>
      <c r="C976" s="18">
        <v>45891</v>
      </c>
      <c r="D976" t="str">
        <f>"9239"</f>
        <v>9239</v>
      </c>
      <c r="F976" t="s">
        <v>1737</v>
      </c>
      <c r="G976" t="s">
        <v>247</v>
      </c>
      <c r="H976" t="s">
        <v>1738</v>
      </c>
      <c r="M976" s="35">
        <v>43304893.75</v>
      </c>
    </row>
    <row r="977" spans="1:12" hidden="1" x14ac:dyDescent="0.25">
      <c r="A977">
        <v>0</v>
      </c>
      <c r="B977" t="s">
        <v>248</v>
      </c>
      <c r="C977" s="18">
        <v>45945</v>
      </c>
      <c r="D977" t="str">
        <f>"11135"</f>
        <v>11135</v>
      </c>
      <c r="E977" s="18">
        <v>45945</v>
      </c>
      <c r="G977" t="s">
        <v>247</v>
      </c>
      <c r="H977" t="s">
        <v>1739</v>
      </c>
      <c r="L977" s="35">
        <v>0.75</v>
      </c>
    </row>
    <row r="978" spans="1:12" hidden="1" x14ac:dyDescent="0.25">
      <c r="A978">
        <v>0</v>
      </c>
      <c r="B978" t="s">
        <v>248</v>
      </c>
      <c r="C978" s="18">
        <v>45961</v>
      </c>
      <c r="D978" t="str">
        <f>"11756"</f>
        <v>11756</v>
      </c>
      <c r="E978" s="18">
        <v>45961</v>
      </c>
      <c r="G978" t="s">
        <v>247</v>
      </c>
      <c r="H978" t="s">
        <v>1740</v>
      </c>
      <c r="J978" s="35"/>
      <c r="L978" s="35">
        <v>9629082.5399999991</v>
      </c>
    </row>
    <row r="979" spans="1:12" hidden="1" x14ac:dyDescent="0.25"/>
  </sheetData>
  <autoFilter ref="A1:M979" xr:uid="{A2D41175-3E0D-4AF8-86F5-7E6882602A46}">
    <filterColumn colId="1">
      <filters>
        <filter val="BOADHL"/>
        <filter val="MVOMCI"/>
      </filters>
    </filterColumn>
    <filterColumn colId="7">
      <filters>
        <filter val="Commission de Mouvements Mois d'AOUT 2025"/>
        <filter val="Commission de Mouvements Mois d'AVRIL 2025"/>
        <filter val="Commission de Mouvements Mois de FEVRIER 2025"/>
        <filter val="Commission de Mouvements Mois de JANVIER 2025"/>
        <filter val="Commission de Mouvements Mois de JUILLET 2025"/>
        <filter val="Commission de Mouvements Mois de JUIN 2025"/>
        <filter val="Commission de Mouvements Mois de MAI 2025"/>
        <filter val="Commission de Mouvements Mois de MARS 2025"/>
        <filter val="Commissions de Mouvements Mois de SEPTEMBRE 2025"/>
        <filter val="Commissions de Plus Haut Découvert"/>
        <filter val="Frais de Tenue de Compte Mois d'AOUT 2025"/>
        <filter val="Frais de Tenue de Compte Mois d'AVRIL 2025"/>
        <filter val="Frais de Tenue de Compte Mois de FEVRIER 2025"/>
        <filter val="Frais de Tenue de Compte Mois de JANVIER 2025"/>
        <filter val="Frais de Tenue de Compte Mois de JUILLET 2025"/>
        <filter val="Frais de Tenue de Compte Mois de JUIN 2025"/>
        <filter val="Frais de Tenue de Compte Mois de MAI 2025"/>
        <filter val="Frais de Tenue de Compte Mois de MARS 2025"/>
        <filter val="Frais de Tenue de Compte Mois de SEPTEMBRE 2025"/>
        <filter val="FRAIS DHL DC 031224 131224 161224 231224 261224 311224"/>
        <filter val="FRAIS DHL DC 211224 311224"/>
        <filter val="FRAIS DHL DC 231224 291224 301224"/>
        <filter val="FRAIS DHL DC 280225"/>
        <filter val="FRAIS DHL DC 310125"/>
        <filter val="Frais DHL EXPRESS AOUT 2025- DR SONYA RAZAFIMAHERY- REG 826"/>
        <filter val="Frais DHL EXPRESS AOUT 2025- RAKOTOMANGA PAMELA- RMBT 25115"/>
        <filter val="FRAIS DHL EXPRESS AOUT 2025- VOLANAHARIMANITRA VOLANAHARI- RMBT 25083"/>
        <filter val="FRAIS DHL EXPRESS DC 300425"/>
        <filter val="FRAIS DHL EXPRESS DC 300425 (2)"/>
        <filter val="FRAIS DHL EXPRESS DC 300425 310525"/>
        <filter val="FRAIS DHL EXPRESS DC 300625"/>
        <filter val="FRAIS DHL EXPRESS DC 300625 310725"/>
        <filter val="FRAIS DHL EXPRESS DC 300925"/>
        <filter val="FRAIS DHL EXPRESS DC 310525"/>
        <filter val="FRAIS DHL EXPRESS DC 310525 (2)"/>
        <filter val="FRAIS DHL EXPRESS DC 310725"/>
        <filter val="FRAIS DHL EXPRESS DC 310725 310825"/>
        <filter val="FRAIS DHL EXPRESS DC 310825"/>
        <filter val="FRAIS DHL EXPRESS DC DHL 310325 300425"/>
        <filter val="Frais DHL EXPRESS DECEMBRE 2024- RAZAFIMANANTSOA TIANA NIRINA- RMBT 2"/>
        <filter val="Frais DHL EXPRESS FEVRIER 2025- RAKOTOMANGA PAMELA- RMBT 22622"/>
        <filter val="Frais DHL EXPRESS FEVRIER 2025- RAKOTONANAHARY EDMOND HERVÃ‰- RMBT 22"/>
        <filter val="Frais DHL EXPRESS FEVRIER 2025- RASAMOELINIAINA LINDA FAMENONTSOA- RM"/>
        <filter val="Frais DHL EXPRESS JANVIER 2025- RAZAFIMAMONJY MIRANA- RMBT 21900"/>
        <filter val="Frais DHL EXPRESS JUILLET 2025- CENTRE MEDICAL AMBATOMENA- REG 202505"/>
        <filter val="Frais DHL EXPRESS JUILLET 2025- PHARMACIE PRINCIPALE- REG LOT226267 /"/>
        <filter val="Frais DHL EXPRESS JUILLET 2025- RANDRIAMANANJARA JACQUES- RMBT 24607"/>
        <filter val="Frais DHL EXPRESS JUILLET 2025- RASOAMIARAMANANA HARRY ANDRIANIAINA L"/>
        <filter val="Frais DHL EXPRESS JUILLET 2025- VOLANAHARIMANITRA VOLANAHARI- RMBT 24"/>
        <filter val="Frais DHL EXPRESS JUIN 2025- RAKOTOMANGA PAMELA- RMBT 24465"/>
        <filter val="Frais DHL EXPRESS JUIN 2025- RAKOTONANAHARY ROJOHERY TSIALONINA- RMBT"/>
        <filter val="Frais DHL EXPRESS JUIN 2025- RANDRIAMANAMPISOA FALITIANA HAJA AINA- R"/>
        <filter val="Frais DHL EXPRESS JUIN 2025- RASOAMIARAMANANA HARRY ANDRIANIAINA LANG"/>
        <filter val="Frais DHL EXPRESS JUIN 2025- RAVAOARIMINO ZOHARIMAHOLY RIMA- RMBT 244"/>
        <filter val="Frais DHL EXPRESS MAI 2025- MATERNITE DU CENTRE REFERENCE MEDICAL- RE"/>
        <filter val="Frais DHL EXPRESS MAI 2025- RAKOTOMANGA PAMELA- RMBT 23528"/>
        <filter val="Frais DHL EXPRESS MAI 2025- RAKOTONANAHARY ROJOHERY TSIALONINA- RMBT"/>
        <filter val="Frais DHL EXPRESS MAI 2025- RANDRIAMANAMPISOA FALITIANA HAJA AINA- RM"/>
        <filter val="Frais DHL EXPRESS MAI 2025- RASAMOELINIAINA LINDA FAMENONTSOA- RMBT 2"/>
        <filter val="Frais DHL EXPRESS MAI 2025- RASOAMIARAMANANA HARRY ANDRIANIAINA LANGU"/>
        <filter val="Frais DHL EXPRESS MAI 2025- RAZAFIMANANTSOA TIANA NIRINA- RMBT 23527"/>
        <filter val="Frais DHL EXPRESS MAI 2025- RAZAFIMANANTSOA TIANA NIRINA- RMBT 23729"/>
        <filter val="Frais DHL EXPRESS MAI 2025- SUD'OPTIC- REG 25/118"/>
        <filter val="Frais DHL EXPRESS MARS 2025- LEUNG CHI YUEN MYRIA- RMBT 22593"/>
        <filter val="Frais DHL EXPRESS OCTOBRE 2025- RAKOTOMANGA PAMELA- RMBT 25965"/>
        <filter val="Frais DHL EXPRESS SEPTEMBRE 2025- RASAMOELINIAINA LINDA FAMENONTSOA-"/>
        <filter val="Interets Débite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Balance des comptes</vt:lpstr>
      <vt:lpstr>2026</vt:lpstr>
      <vt:lpstr>Feuil1</vt:lpstr>
      <vt:lpstr>Feuil2</vt:lpstr>
      <vt:lpstr>'2026'!Zone_d_impression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 MAROVELO CELESTE</dc:creator>
  <cp:lastModifiedBy>Finiavana Tiana Harijaona (MGSG)</cp:lastModifiedBy>
  <dcterms:created xsi:type="dcterms:W3CDTF">2020-01-13T07:18:19Z</dcterms:created>
  <dcterms:modified xsi:type="dcterms:W3CDTF">2026-09-30T13:31:58Z</dcterms:modified>
</cp:coreProperties>
</file>